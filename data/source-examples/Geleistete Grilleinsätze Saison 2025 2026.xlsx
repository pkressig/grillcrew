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2d7ef58fc9259c/Desktop/Betty/Fussball/Grilleinsätze koordinieren/"/>
    </mc:Choice>
  </mc:AlternateContent>
  <xr:revisionPtr revIDLastSave="898" documentId="8_{38D432A2-D03B-464C-BCC0-89BCF7CD2CA0}" xr6:coauthVersionLast="47" xr6:coauthVersionMax="47" xr10:uidLastSave="{426696EC-E009-4A5E-BC44-8F4D57106D51}"/>
  <bookViews>
    <workbookView xWindow="-120" yWindow="-120" windowWidth="29040" windowHeight="15720" activeTab="3" xr2:uid="{5FBD8A9E-D5BC-46BC-A131-CE50D247D1E3}"/>
  </bookViews>
  <sheets>
    <sheet name="Herbst 2025" sheetId="1" r:id="rId1"/>
    <sheet name="Frühling 2026" sheetId="2" r:id="rId2"/>
    <sheet name="Total" sheetId="3" r:id="rId3"/>
    <sheet name="für Leandr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3" l="1"/>
  <c r="C33" i="4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5" i="3"/>
  <c r="I4" i="3"/>
  <c r="G33" i="3"/>
  <c r="C33" i="3"/>
  <c r="I33" i="3" s="1"/>
  <c r="I53" i="2"/>
  <c r="G22" i="2"/>
  <c r="N34" i="2"/>
  <c r="H49" i="2"/>
  <c r="G49" i="2"/>
  <c r="H10" i="2"/>
  <c r="G10" i="2"/>
  <c r="H22" i="2"/>
  <c r="H45" i="2"/>
  <c r="G45" i="2"/>
  <c r="G44" i="2"/>
  <c r="H44" i="2" s="1"/>
  <c r="H40" i="2"/>
  <c r="G40" i="2"/>
  <c r="H38" i="2"/>
  <c r="G38" i="2"/>
  <c r="G39" i="2"/>
  <c r="G31" i="2"/>
  <c r="H31" i="2" s="1"/>
  <c r="G29" i="2"/>
  <c r="G27" i="2"/>
  <c r="G26" i="2"/>
  <c r="G21" i="2"/>
  <c r="J21" i="2" s="1"/>
  <c r="H19" i="2"/>
  <c r="G19" i="2"/>
  <c r="H17" i="2"/>
  <c r="G17" i="2"/>
  <c r="G16" i="2"/>
  <c r="G15" i="2"/>
  <c r="G14" i="2"/>
  <c r="G13" i="2"/>
  <c r="G11" i="2"/>
  <c r="G9" i="2"/>
  <c r="J7" i="2"/>
  <c r="G7" i="2"/>
  <c r="J6" i="2"/>
  <c r="G6" i="2"/>
  <c r="G5" i="2"/>
  <c r="G4" i="2"/>
  <c r="F52" i="2"/>
  <c r="H50" i="2"/>
  <c r="J39" i="2"/>
  <c r="H37" i="2"/>
  <c r="H35" i="2"/>
  <c r="H34" i="2"/>
  <c r="H32" i="2"/>
  <c r="J28" i="2"/>
  <c r="H25" i="2"/>
  <c r="H23" i="2"/>
  <c r="J18" i="2"/>
  <c r="H13" i="2"/>
  <c r="H9" i="2"/>
  <c r="H8" i="2"/>
  <c r="H5" i="2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9" i="1"/>
  <c r="N8" i="1"/>
  <c r="N7" i="1"/>
  <c r="N5" i="1"/>
  <c r="N4" i="1"/>
  <c r="F58" i="1"/>
  <c r="J58" i="1"/>
  <c r="J44" i="1"/>
  <c r="G44" i="1"/>
  <c r="J38" i="1"/>
  <c r="G38" i="1"/>
  <c r="J27" i="1"/>
  <c r="G27" i="1"/>
  <c r="J20" i="1"/>
  <c r="G20" i="1"/>
  <c r="J17" i="1"/>
  <c r="G17" i="1"/>
  <c r="J9" i="1"/>
  <c r="G9" i="1"/>
  <c r="G3" i="1"/>
  <c r="H51" i="1"/>
  <c r="G51" i="1"/>
  <c r="H43" i="1"/>
  <c r="G43" i="1"/>
  <c r="H34" i="1"/>
  <c r="G34" i="1"/>
  <c r="H33" i="1"/>
  <c r="G33" i="1"/>
  <c r="G31" i="1"/>
  <c r="H31" i="1" s="1"/>
  <c r="H30" i="1"/>
  <c r="G30" i="1"/>
  <c r="H24" i="1"/>
  <c r="G24" i="1"/>
  <c r="H49" i="1"/>
  <c r="G49" i="1"/>
  <c r="H36" i="1"/>
  <c r="G36" i="1"/>
  <c r="H22" i="1"/>
  <c r="G22" i="1"/>
  <c r="H21" i="1"/>
  <c r="G21" i="1"/>
  <c r="H14" i="1"/>
  <c r="G14" i="1"/>
  <c r="H13" i="1"/>
  <c r="G13" i="1"/>
  <c r="H12" i="1"/>
  <c r="G12" i="1"/>
  <c r="H8" i="1"/>
  <c r="H7" i="1"/>
  <c r="G6" i="1"/>
  <c r="G58" i="1" s="1"/>
  <c r="H4" i="1"/>
  <c r="G8" i="1"/>
  <c r="G7" i="1"/>
  <c r="G5" i="1"/>
  <c r="G4" i="1"/>
  <c r="G15" i="1"/>
  <c r="H15" i="1" s="1"/>
  <c r="H6" i="1" l="1"/>
  <c r="N6" i="1" s="1"/>
  <c r="G52" i="2"/>
  <c r="H52" i="2"/>
  <c r="J52" i="2"/>
  <c r="I52" i="2" s="1"/>
  <c r="H58" i="1"/>
  <c r="I58" i="1" s="1"/>
  <c r="N10" i="1"/>
  <c r="N26" i="1"/>
</calcChain>
</file>

<file path=xl/sharedStrings.xml><?xml version="1.0" encoding="utf-8"?>
<sst xmlns="http://schemas.openxmlformats.org/spreadsheetml/2006/main" count="842" uniqueCount="240">
  <si>
    <t>Sa.</t>
  </si>
  <si>
    <t>02.08.</t>
  </si>
  <si>
    <t>16:30-20:00</t>
  </si>
  <si>
    <t>Andy Noll</t>
  </si>
  <si>
    <t>unentgeltlich</t>
  </si>
  <si>
    <t xml:space="preserve">So. </t>
  </si>
  <si>
    <t>17.08.</t>
  </si>
  <si>
    <t>10:30-15:30</t>
  </si>
  <si>
    <t>Mario Massardi</t>
  </si>
  <si>
    <t>Alessio u. Giulio Massardi</t>
  </si>
  <si>
    <t>Petra Brunold</t>
  </si>
  <si>
    <t>Eliano Barandun</t>
  </si>
  <si>
    <t>Daniel Battaglia</t>
  </si>
  <si>
    <t>Maurin Battaglia</t>
  </si>
  <si>
    <t>15:30-20:00</t>
  </si>
  <si>
    <t>Ruedi Buchli</t>
  </si>
  <si>
    <t>Marco Buchli</t>
  </si>
  <si>
    <t>Di.</t>
  </si>
  <si>
    <t>19.08.</t>
  </si>
  <si>
    <t>19:30-23:30</t>
  </si>
  <si>
    <t>Albi Pürro</t>
  </si>
  <si>
    <t>Gianin Pürro</t>
  </si>
  <si>
    <t>Fr.</t>
  </si>
  <si>
    <t>22.08.</t>
  </si>
  <si>
    <t>19:30-23:00</t>
  </si>
  <si>
    <t>Dario Andric</t>
  </si>
  <si>
    <t>23.08.</t>
  </si>
  <si>
    <t>12:00-17:00</t>
  </si>
  <si>
    <t>17:00-22:00</t>
  </si>
  <si>
    <t>Urs Ambühl</t>
  </si>
  <si>
    <t>Sanna u. Enio Ambühl</t>
  </si>
  <si>
    <t>24.08.</t>
  </si>
  <si>
    <t>10:30-13:00</t>
  </si>
  <si>
    <t>Daniel Liver</t>
  </si>
  <si>
    <t>Jann Liver</t>
  </si>
  <si>
    <t>30.08.</t>
  </si>
  <si>
    <t>10:30-16:00</t>
  </si>
  <si>
    <t>Marina Buchli</t>
  </si>
  <si>
    <t>Lino Buchli</t>
  </si>
  <si>
    <t>Monika Caduff</t>
  </si>
  <si>
    <t>31.08.</t>
  </si>
  <si>
    <t>11:00-14:30</t>
  </si>
  <si>
    <t>Erwin Seglias</t>
  </si>
  <si>
    <t>14:30-18:00</t>
  </si>
  <si>
    <t>Mi.</t>
  </si>
  <si>
    <t>03.09.</t>
  </si>
  <si>
    <t>19:00-23:00</t>
  </si>
  <si>
    <t>Nicola Carroccia</t>
  </si>
  <si>
    <t xml:space="preserve">unentgeltlich </t>
  </si>
  <si>
    <t>06.09.</t>
  </si>
  <si>
    <t>12:00-16:00</t>
  </si>
  <si>
    <t>Tom Haberstich</t>
  </si>
  <si>
    <t>Mattia Haberstich</t>
  </si>
  <si>
    <t>Lukas Hürlimann</t>
  </si>
  <si>
    <t>16:00-22:00</t>
  </si>
  <si>
    <t>Yanik, Lukas u. Luisa Korell</t>
  </si>
  <si>
    <t>Flurina Feltscher</t>
  </si>
  <si>
    <t>Elisa u. Curo Feltscher</t>
  </si>
  <si>
    <t>So.</t>
  </si>
  <si>
    <t>07.09.</t>
  </si>
  <si>
    <t>11:00-16:00</t>
  </si>
  <si>
    <t>12.09.</t>
  </si>
  <si>
    <t>Toni TV Andric</t>
  </si>
  <si>
    <t>untentgeltlich</t>
  </si>
  <si>
    <t>13.09.</t>
  </si>
  <si>
    <t>10:30-14:00</t>
  </si>
  <si>
    <t>14:00-17:00</t>
  </si>
  <si>
    <t>Christian Züger</t>
  </si>
  <si>
    <t>Silvana Züger</t>
  </si>
  <si>
    <t>Benjamin Redondo</t>
  </si>
  <si>
    <t>Samuel u. Mia Redondo</t>
  </si>
  <si>
    <t>14.09.</t>
  </si>
  <si>
    <t>10:30-12:00</t>
  </si>
  <si>
    <t>13:00-17:00</t>
  </si>
  <si>
    <t>Curdin Baltermia</t>
  </si>
  <si>
    <t>Laurin Baltermia</t>
  </si>
  <si>
    <t>Hibrizan Miho</t>
  </si>
  <si>
    <t>Mustafa Baran</t>
  </si>
  <si>
    <t>Do.</t>
  </si>
  <si>
    <t>18.09.</t>
  </si>
  <si>
    <t>Aurelio Rocco</t>
  </si>
  <si>
    <t>20.09.</t>
  </si>
  <si>
    <t>11:00-15:30</t>
  </si>
  <si>
    <t>Urs Brülisauer</t>
  </si>
  <si>
    <t>27.09.</t>
  </si>
  <si>
    <t>Claudio Rüedi</t>
  </si>
  <si>
    <t>Leandro Rüedi</t>
  </si>
  <si>
    <t>Andy Ambühl</t>
  </si>
  <si>
    <t>28.09.</t>
  </si>
  <si>
    <t>Datum</t>
  </si>
  <si>
    <t>Zeit</t>
  </si>
  <si>
    <t>Name</t>
  </si>
  <si>
    <t>03.10.</t>
  </si>
  <si>
    <t>07.10.</t>
  </si>
  <si>
    <t>18.10.</t>
  </si>
  <si>
    <t>11:00-14:00</t>
  </si>
  <si>
    <t>25.10.</t>
  </si>
  <si>
    <t>Roman Caduff</t>
  </si>
  <si>
    <t>Enio u. Moreno Caduff</t>
  </si>
  <si>
    <t>11:00-15:00</t>
  </si>
  <si>
    <t>Simona Caduff</t>
  </si>
  <si>
    <t>Dario Rüedi</t>
  </si>
  <si>
    <t>Nadia Ambühl</t>
  </si>
  <si>
    <t>Enio u. Sanna Ambühl</t>
  </si>
  <si>
    <t>26.10.</t>
  </si>
  <si>
    <t xml:space="preserve">Sa. </t>
  </si>
  <si>
    <t>08.11.</t>
  </si>
  <si>
    <t>16:00-20:00</t>
  </si>
  <si>
    <t>Geleistete Grilleinsätze Herbst 2025</t>
  </si>
  <si>
    <t>Arb., unentg., ausz.</t>
  </si>
  <si>
    <t>Arbeitseinsatz für</t>
  </si>
  <si>
    <t>Yanik, Lucas u. Luisa Korell</t>
  </si>
  <si>
    <t>gel. Stunden</t>
  </si>
  <si>
    <t>Total p.P.</t>
  </si>
  <si>
    <t xml:space="preserve">Total Arb. </t>
  </si>
  <si>
    <t>Total unentg.</t>
  </si>
  <si>
    <t>Leandro</t>
  </si>
  <si>
    <t>Kind/er</t>
  </si>
  <si>
    <t>Battaglia Daniel</t>
  </si>
  <si>
    <t>Battaglia Maurin</t>
  </si>
  <si>
    <t>Brunold Petra</t>
  </si>
  <si>
    <t>Buchli Ruedi</t>
  </si>
  <si>
    <t>Buchli Marco</t>
  </si>
  <si>
    <t>Caduff Simona</t>
  </si>
  <si>
    <t>Caduff Enio u. Moreno</t>
  </si>
  <si>
    <t>Hürlimann Lukas</t>
  </si>
  <si>
    <t>Liver Daniel</t>
  </si>
  <si>
    <t>Liver Jann</t>
  </si>
  <si>
    <t>Massardi Mario</t>
  </si>
  <si>
    <t>Massardi Alessio u. Giulio</t>
  </si>
  <si>
    <t>Pürro Albi</t>
  </si>
  <si>
    <t>Pürro Gianin</t>
  </si>
  <si>
    <t>1 Kind = 8 Std Arbeitseinsatz</t>
  </si>
  <si>
    <t xml:space="preserve">2 od. mehrere Kinder = 12 Std. </t>
  </si>
  <si>
    <t>Rocco</t>
  </si>
  <si>
    <t>Aurelio</t>
  </si>
  <si>
    <t>Barandun Eliano</t>
  </si>
  <si>
    <t>Ambühl Urs u. Nadia</t>
  </si>
  <si>
    <t>Ambühl Enio u. Sanna</t>
  </si>
  <si>
    <t>Buchli Marina</t>
  </si>
  <si>
    <t>Buchli Lino</t>
  </si>
  <si>
    <t>Caduff Monika</t>
  </si>
  <si>
    <t>Korell Yanik, Lukas u. Luisa</t>
  </si>
  <si>
    <t>Haberstich Tom</t>
  </si>
  <si>
    <t>Haberstich Mattia</t>
  </si>
  <si>
    <t>Feltscher Flurina</t>
  </si>
  <si>
    <t>Feltscher Curo u. Elisa</t>
  </si>
  <si>
    <t>Züger Christian</t>
  </si>
  <si>
    <t>Züger Silvana</t>
  </si>
  <si>
    <t>Redondo Benjamin</t>
  </si>
  <si>
    <t>Redondo Samuel u. Mia</t>
  </si>
  <si>
    <t>Baltermia Curdin</t>
  </si>
  <si>
    <t>Baltermia Laurin</t>
  </si>
  <si>
    <t>Miho Hibrizan</t>
  </si>
  <si>
    <t>Baran Mustafa</t>
  </si>
  <si>
    <t>Rüedi Claudio</t>
  </si>
  <si>
    <t>Rüedi Leandro</t>
  </si>
  <si>
    <t>Rüedi Dario</t>
  </si>
  <si>
    <t>erfüllt</t>
  </si>
  <si>
    <t>04.04.</t>
  </si>
  <si>
    <t>Mo.</t>
  </si>
  <si>
    <t>06.04.</t>
  </si>
  <si>
    <t>13:00-18:00</t>
  </si>
  <si>
    <t>Werner Buchli</t>
  </si>
  <si>
    <t>11.04.</t>
  </si>
  <si>
    <t>12.04.</t>
  </si>
  <si>
    <t>10:30-14:30</t>
  </si>
  <si>
    <t>14:30-16:00</t>
  </si>
  <si>
    <t>17.04.</t>
  </si>
  <si>
    <t>18.04.</t>
  </si>
  <si>
    <t>25.04.</t>
  </si>
  <si>
    <t>Madeleine Niemeyer</t>
  </si>
  <si>
    <t>26.04.</t>
  </si>
  <si>
    <t>10:30-17:00</t>
  </si>
  <si>
    <t>02.05.</t>
  </si>
  <si>
    <t>Adolf Sutter</t>
  </si>
  <si>
    <t>03.05.</t>
  </si>
  <si>
    <t>10:00-13:00</t>
  </si>
  <si>
    <t>Anisa Sawary</t>
  </si>
  <si>
    <t>08.05.</t>
  </si>
  <si>
    <t>AnnaMaria Neuhaus</t>
  </si>
  <si>
    <t>Karl Neuhaus</t>
  </si>
  <si>
    <t>09.05.</t>
  </si>
  <si>
    <t>12:00-15:30</t>
  </si>
  <si>
    <t>10.05.</t>
  </si>
  <si>
    <t>Susanne Caduff</t>
  </si>
  <si>
    <t>16.05.</t>
  </si>
  <si>
    <t>18:00-22:00</t>
  </si>
  <si>
    <t>22.05.</t>
  </si>
  <si>
    <t>23.05.</t>
  </si>
  <si>
    <t>29.05.</t>
  </si>
  <si>
    <t>Mario Andric</t>
  </si>
  <si>
    <t>Toni Andric</t>
  </si>
  <si>
    <t>30.05.</t>
  </si>
  <si>
    <t>17:00-20:00</t>
  </si>
  <si>
    <t>31.05.</t>
  </si>
  <si>
    <t>12:00-15:00</t>
  </si>
  <si>
    <t>14:00-18:00</t>
  </si>
  <si>
    <t>05.06.</t>
  </si>
  <si>
    <t>06.06.</t>
  </si>
  <si>
    <t>07.06.</t>
  </si>
  <si>
    <t>Mauro Gredig</t>
  </si>
  <si>
    <t>Melina u. Neela Buchli</t>
  </si>
  <si>
    <t>Lino u. Inola Buchli</t>
  </si>
  <si>
    <t>Max u. Maila Niemeyer</t>
  </si>
  <si>
    <t>Eliano Brunold</t>
  </si>
  <si>
    <t>Ali u. Mustanser Sawary</t>
  </si>
  <si>
    <t>Mauro Hefti</t>
  </si>
  <si>
    <t>Leila u. Jan Caduff</t>
  </si>
  <si>
    <t>Aldo Rudin</t>
  </si>
  <si>
    <t>Aldo Kollegger</t>
  </si>
  <si>
    <t>Luigi De Monte</t>
  </si>
  <si>
    <t>Paolo u. Aaron De Monte</t>
  </si>
  <si>
    <t>Curo u. Elisa Feltscher</t>
  </si>
  <si>
    <t>Total Arbeitseinsätze Herbst 2025</t>
  </si>
  <si>
    <t>Total Arbeitseinsätze Frühling 2026</t>
  </si>
  <si>
    <t>Buchli Werner</t>
  </si>
  <si>
    <t>Niemeyer Madeleine</t>
  </si>
  <si>
    <t>Sawary Anisa</t>
  </si>
  <si>
    <t>Neuhaus A. u. K.</t>
  </si>
  <si>
    <t>Caduff Susanne</t>
  </si>
  <si>
    <t>Andric Mario</t>
  </si>
  <si>
    <t>Rudin Aldo</t>
  </si>
  <si>
    <t>Rocco Aurelio</t>
  </si>
  <si>
    <t>Buchli Melina u. Neela</t>
  </si>
  <si>
    <t>Niemeyer Max u. Maila</t>
  </si>
  <si>
    <t>Sawary Ali u. Mustanser</t>
  </si>
  <si>
    <t>Hefti Mauro</t>
  </si>
  <si>
    <t>Caduff Leila u. Jann</t>
  </si>
  <si>
    <t>Kollegger Aldo</t>
  </si>
  <si>
    <t>De Monte Luigi</t>
  </si>
  <si>
    <t>De Monte Paolo u. Aaron</t>
  </si>
  <si>
    <t>Total</t>
  </si>
  <si>
    <t>Buchli Lino u. Inola</t>
  </si>
  <si>
    <t>Spieler/Kind/er</t>
  </si>
  <si>
    <t>Einsätze Grill Saison 2025/2026</t>
  </si>
  <si>
    <t>Ambühl Nadia u. Urs</t>
  </si>
  <si>
    <t>Caduff Simona u. Roman</t>
  </si>
  <si>
    <t>Feltscher Flu u. Gredig Mauro</t>
  </si>
  <si>
    <t>Neuhaus Anna Maria u. Karl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</si>
</sst>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74999237037263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6">
    <xf numFmtId="0" fontId="0" fillId="0" borderId="0" xfId="0"/>
    <xf numFmtId="0" fontId="2" fillId="0" borderId="0" xfId="0" applyFont="1"/>
    <xf numFmtId="0" fontId="4" fillId="0" borderId="1" xfId="0" applyFont="1" applyBorder="1"/>
    <xf numFmtId="0" fontId="4" fillId="0" borderId="0" xfId="0" applyFont="1"/>
    <xf numFmtId="0" fontId="5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0" fillId="0" borderId="1" xfId="0" applyBorder="1"/>
    <xf numFmtId="0" fontId="6" fillId="0" borderId="0" xfId="0" applyFont="1"/>
    <xf numFmtId="0" fontId="4" fillId="2" borderId="1" xfId="0" applyFont="1" applyFill="1" applyBorder="1"/>
    <xf numFmtId="0" fontId="4" fillId="2" borderId="0" xfId="0" applyFont="1" applyFill="1"/>
    <xf numFmtId="0" fontId="4" fillId="2" borderId="7" xfId="0" applyFont="1" applyFill="1" applyBorder="1"/>
    <xf numFmtId="0" fontId="4" fillId="2" borderId="6" xfId="0" applyFont="1" applyFill="1" applyBorder="1"/>
    <xf numFmtId="0" fontId="4" fillId="3" borderId="8" xfId="0" applyFont="1" applyFill="1" applyBorder="1"/>
    <xf numFmtId="0" fontId="4" fillId="3" borderId="1" xfId="0" applyFont="1" applyFill="1" applyBorder="1"/>
    <xf numFmtId="0" fontId="4" fillId="3" borderId="3" xfId="0" applyFont="1" applyFill="1" applyBorder="1"/>
    <xf numFmtId="0" fontId="4" fillId="3" borderId="9" xfId="0" applyFont="1" applyFill="1" applyBorder="1"/>
    <xf numFmtId="0" fontId="4" fillId="3" borderId="6" xfId="0" applyFont="1" applyFill="1" applyBorder="1"/>
    <xf numFmtId="0" fontId="4" fillId="3" borderId="0" xfId="0" applyFont="1" applyFill="1"/>
    <xf numFmtId="0" fontId="4" fillId="4" borderId="1" xfId="0" applyFont="1" applyFill="1" applyBorder="1"/>
    <xf numFmtId="0" fontId="4" fillId="5" borderId="1" xfId="0" applyFont="1" applyFill="1" applyBorder="1"/>
    <xf numFmtId="0" fontId="0" fillId="3" borderId="1" xfId="0" applyFill="1" applyBorder="1"/>
    <xf numFmtId="0" fontId="4" fillId="6" borderId="1" xfId="0" applyFont="1" applyFill="1" applyBorder="1"/>
    <xf numFmtId="0" fontId="4" fillId="6" borderId="2" xfId="0" applyFont="1" applyFill="1" applyBorder="1"/>
    <xf numFmtId="20" fontId="4" fillId="6" borderId="3" xfId="0" applyNumberFormat="1" applyFont="1" applyFill="1" applyBorder="1"/>
    <xf numFmtId="0" fontId="4" fillId="7" borderId="1" xfId="0" applyFont="1" applyFill="1" applyBorder="1"/>
    <xf numFmtId="0" fontId="4" fillId="7" borderId="2" xfId="0" applyFont="1" applyFill="1" applyBorder="1"/>
    <xf numFmtId="0" fontId="4" fillId="7" borderId="3" xfId="0" applyFont="1" applyFill="1" applyBorder="1"/>
    <xf numFmtId="0" fontId="4" fillId="7" borderId="8" xfId="0" applyFont="1" applyFill="1" applyBorder="1"/>
    <xf numFmtId="0" fontId="0" fillId="7" borderId="1" xfId="0" applyFill="1" applyBorder="1"/>
    <xf numFmtId="0" fontId="4" fillId="8" borderId="1" xfId="0" applyFont="1" applyFill="1" applyBorder="1"/>
    <xf numFmtId="0" fontId="4" fillId="8" borderId="5" xfId="0" applyFont="1" applyFill="1" applyBorder="1"/>
    <xf numFmtId="0" fontId="4" fillId="8" borderId="0" xfId="0" applyFont="1" applyFill="1"/>
    <xf numFmtId="0" fontId="4" fillId="8" borderId="6" xfId="0" applyFont="1" applyFill="1" applyBorder="1"/>
    <xf numFmtId="0" fontId="4" fillId="8" borderId="8" xfId="0" applyFont="1" applyFill="1" applyBorder="1"/>
    <xf numFmtId="0" fontId="4" fillId="8" borderId="2" xfId="0" applyFont="1" applyFill="1" applyBorder="1"/>
    <xf numFmtId="0" fontId="4" fillId="8" borderId="3" xfId="0" applyFont="1" applyFill="1" applyBorder="1"/>
    <xf numFmtId="0" fontId="4" fillId="9" borderId="1" xfId="0" applyFont="1" applyFill="1" applyBorder="1"/>
    <xf numFmtId="0" fontId="0" fillId="8" borderId="1" xfId="0" applyFill="1" applyBorder="1"/>
    <xf numFmtId="0" fontId="4" fillId="10" borderId="1" xfId="0" applyFont="1" applyFill="1" applyBorder="1"/>
    <xf numFmtId="0" fontId="4" fillId="10" borderId="8" xfId="0" applyFont="1" applyFill="1" applyBorder="1"/>
    <xf numFmtId="0" fontId="4" fillId="10" borderId="3" xfId="0" applyFont="1" applyFill="1" applyBorder="1"/>
    <xf numFmtId="0" fontId="0" fillId="10" borderId="1" xfId="0" applyFill="1" applyBorder="1"/>
    <xf numFmtId="0" fontId="4" fillId="10" borderId="9" xfId="0" applyFont="1" applyFill="1" applyBorder="1"/>
    <xf numFmtId="0" fontId="4" fillId="10" borderId="6" xfId="0" applyFont="1" applyFill="1" applyBorder="1"/>
    <xf numFmtId="0" fontId="4" fillId="10" borderId="0" xfId="0" applyFont="1" applyFill="1"/>
    <xf numFmtId="0" fontId="4" fillId="11" borderId="1" xfId="0" applyFont="1" applyFill="1" applyBorder="1"/>
    <xf numFmtId="0" fontId="4" fillId="11" borderId="8" xfId="0" applyFont="1" applyFill="1" applyBorder="1"/>
    <xf numFmtId="0" fontId="4" fillId="11" borderId="3" xfId="0" applyFont="1" applyFill="1" applyBorder="1"/>
    <xf numFmtId="0" fontId="4" fillId="11" borderId="6" xfId="0" applyFont="1" applyFill="1" applyBorder="1"/>
    <xf numFmtId="0" fontId="4" fillId="12" borderId="1" xfId="0" applyFont="1" applyFill="1" applyBorder="1"/>
    <xf numFmtId="0" fontId="4" fillId="12" borderId="2" xfId="0" applyFont="1" applyFill="1" applyBorder="1"/>
    <xf numFmtId="0" fontId="4" fillId="12" borderId="3" xfId="0" applyFont="1" applyFill="1" applyBorder="1"/>
    <xf numFmtId="0" fontId="4" fillId="12" borderId="9" xfId="0" applyFont="1" applyFill="1" applyBorder="1"/>
    <xf numFmtId="0" fontId="4" fillId="12" borderId="6" xfId="0" applyFont="1" applyFill="1" applyBorder="1"/>
    <xf numFmtId="0" fontId="4" fillId="12" borderId="0" xfId="0" applyFont="1" applyFill="1"/>
    <xf numFmtId="0" fontId="4" fillId="12" borderId="8" xfId="0" applyFont="1" applyFill="1" applyBorder="1"/>
    <xf numFmtId="0" fontId="4" fillId="12" borderId="5" xfId="0" applyFont="1" applyFill="1" applyBorder="1"/>
    <xf numFmtId="0" fontId="4" fillId="13" borderId="8" xfId="0" applyFont="1" applyFill="1" applyBorder="1"/>
    <xf numFmtId="0" fontId="4" fillId="13" borderId="1" xfId="0" applyFont="1" applyFill="1" applyBorder="1"/>
    <xf numFmtId="0" fontId="4" fillId="13" borderId="2" xfId="0" applyFont="1" applyFill="1" applyBorder="1"/>
    <xf numFmtId="0" fontId="4" fillId="13" borderId="3" xfId="0" applyFont="1" applyFill="1" applyBorder="1"/>
    <xf numFmtId="0" fontId="0" fillId="13" borderId="1" xfId="0" applyFill="1" applyBorder="1"/>
    <xf numFmtId="0" fontId="4" fillId="14" borderId="1" xfId="0" applyFont="1" applyFill="1" applyBorder="1"/>
    <xf numFmtId="0" fontId="4" fillId="14" borderId="2" xfId="0" applyFont="1" applyFill="1" applyBorder="1"/>
    <xf numFmtId="0" fontId="4" fillId="14" borderId="3" xfId="0" applyFont="1" applyFill="1" applyBorder="1"/>
    <xf numFmtId="0" fontId="4" fillId="14" borderId="8" xfId="0" applyFont="1" applyFill="1" applyBorder="1"/>
    <xf numFmtId="0" fontId="4" fillId="14" borderId="0" xfId="0" applyFont="1" applyFill="1"/>
    <xf numFmtId="0" fontId="4" fillId="15" borderId="1" xfId="0" applyFont="1" applyFill="1" applyBorder="1"/>
    <xf numFmtId="0" fontId="4" fillId="15" borderId="2" xfId="0" applyFont="1" applyFill="1" applyBorder="1"/>
    <xf numFmtId="0" fontId="4" fillId="15" borderId="3" xfId="0" applyFont="1" applyFill="1" applyBorder="1"/>
    <xf numFmtId="0" fontId="4" fillId="16" borderId="8" xfId="0" applyFont="1" applyFill="1" applyBorder="1"/>
    <xf numFmtId="0" fontId="4" fillId="16" borderId="1" xfId="0" applyFont="1" applyFill="1" applyBorder="1"/>
    <xf numFmtId="0" fontId="4" fillId="16" borderId="3" xfId="0" applyFont="1" applyFill="1" applyBorder="1"/>
    <xf numFmtId="0" fontId="4" fillId="16" borderId="6" xfId="0" applyFont="1" applyFill="1" applyBorder="1"/>
    <xf numFmtId="0" fontId="4" fillId="17" borderId="9" xfId="0" applyFont="1" applyFill="1" applyBorder="1"/>
    <xf numFmtId="0" fontId="4" fillId="17" borderId="6" xfId="0" applyFont="1" applyFill="1" applyBorder="1"/>
    <xf numFmtId="0" fontId="4" fillId="17" borderId="0" xfId="0" applyFont="1" applyFill="1"/>
    <xf numFmtId="0" fontId="4" fillId="17" borderId="4" xfId="0" applyFont="1" applyFill="1" applyBorder="1"/>
    <xf numFmtId="0" fontId="4" fillId="17" borderId="1" xfId="0" applyFont="1" applyFill="1" applyBorder="1"/>
    <xf numFmtId="0" fontId="4" fillId="17" borderId="8" xfId="0" applyFont="1" applyFill="1" applyBorder="1"/>
    <xf numFmtId="0" fontId="4" fillId="17" borderId="2" xfId="0" applyFont="1" applyFill="1" applyBorder="1"/>
    <xf numFmtId="0" fontId="4" fillId="17" borderId="3" xfId="0" applyFont="1" applyFill="1" applyBorder="1"/>
    <xf numFmtId="0" fontId="4" fillId="18" borderId="8" xfId="0" applyFont="1" applyFill="1" applyBorder="1"/>
    <xf numFmtId="0" fontId="4" fillId="18" borderId="1" xfId="0" applyFont="1" applyFill="1" applyBorder="1"/>
    <xf numFmtId="0" fontId="4" fillId="18" borderId="3" xfId="0" applyFont="1" applyFill="1" applyBorder="1"/>
    <xf numFmtId="0" fontId="4" fillId="19" borderId="8" xfId="0" applyFont="1" applyFill="1" applyBorder="1"/>
    <xf numFmtId="0" fontId="4" fillId="19" borderId="1" xfId="0" applyFont="1" applyFill="1" applyBorder="1"/>
    <xf numFmtId="0" fontId="4" fillId="19" borderId="2" xfId="0" applyFont="1" applyFill="1" applyBorder="1"/>
    <xf numFmtId="0" fontId="4" fillId="19" borderId="3" xfId="0" applyFont="1" applyFill="1" applyBorder="1"/>
    <xf numFmtId="0" fontId="4" fillId="20" borderId="8" xfId="0" applyFont="1" applyFill="1" applyBorder="1"/>
    <xf numFmtId="0" fontId="4" fillId="20" borderId="1" xfId="0" applyFont="1" applyFill="1" applyBorder="1"/>
    <xf numFmtId="0" fontId="4" fillId="20" borderId="2" xfId="0" applyFont="1" applyFill="1" applyBorder="1"/>
    <xf numFmtId="0" fontId="4" fillId="20" borderId="3" xfId="0" applyFont="1" applyFill="1" applyBorder="1"/>
    <xf numFmtId="0" fontId="4" fillId="21" borderId="8" xfId="0" applyFont="1" applyFill="1" applyBorder="1"/>
    <xf numFmtId="0" fontId="4" fillId="21" borderId="1" xfId="0" applyFont="1" applyFill="1" applyBorder="1"/>
    <xf numFmtId="0" fontId="4" fillId="21" borderId="3" xfId="0" applyFont="1" applyFill="1" applyBorder="1"/>
    <xf numFmtId="0" fontId="0" fillId="21" borderId="1" xfId="0" applyFill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6" fillId="0" borderId="16" xfId="0" applyFont="1" applyBorder="1"/>
    <xf numFmtId="0" fontId="6" fillId="0" borderId="17" xfId="0" applyFont="1" applyBorder="1"/>
    <xf numFmtId="0" fontId="4" fillId="0" borderId="16" xfId="0" applyFont="1" applyBorder="1"/>
    <xf numFmtId="0" fontId="4" fillId="0" borderId="17" xfId="0" applyFont="1" applyBorder="1"/>
    <xf numFmtId="0" fontId="6" fillId="0" borderId="18" xfId="0" applyFont="1" applyBorder="1"/>
    <xf numFmtId="0" fontId="4" fillId="0" borderId="19" xfId="0" applyFont="1" applyBorder="1"/>
    <xf numFmtId="0" fontId="4" fillId="0" borderId="20" xfId="0" applyFont="1" applyBorder="1"/>
    <xf numFmtId="0" fontId="4" fillId="2" borderId="8" xfId="0" applyFont="1" applyFill="1" applyBorder="1"/>
    <xf numFmtId="0" fontId="4" fillId="9" borderId="8" xfId="0" applyFont="1" applyFill="1" applyBorder="1"/>
    <xf numFmtId="0" fontId="4" fillId="4" borderId="8" xfId="0" applyFont="1" applyFill="1" applyBorder="1"/>
    <xf numFmtId="0" fontId="4" fillId="6" borderId="8" xfId="0" applyFont="1" applyFill="1" applyBorder="1"/>
    <xf numFmtId="0" fontId="4" fillId="5" borderId="8" xfId="0" applyFont="1" applyFill="1" applyBorder="1"/>
    <xf numFmtId="0" fontId="4" fillId="15" borderId="8" xfId="0" applyFont="1" applyFill="1" applyBorder="1"/>
    <xf numFmtId="0" fontId="0" fillId="0" borderId="8" xfId="0" applyBorder="1"/>
    <xf numFmtId="0" fontId="0" fillId="7" borderId="8" xfId="0" applyFill="1" applyBorder="1"/>
    <xf numFmtId="0" fontId="0" fillId="3" borderId="8" xfId="0" applyFill="1" applyBorder="1"/>
    <xf numFmtId="0" fontId="0" fillId="21" borderId="8" xfId="0" applyFill="1" applyBorder="1"/>
    <xf numFmtId="0" fontId="0" fillId="10" borderId="8" xfId="0" applyFill="1" applyBorder="1"/>
    <xf numFmtId="0" fontId="0" fillId="13" borderId="8" xfId="0" applyFill="1" applyBorder="1"/>
    <xf numFmtId="0" fontId="0" fillId="8" borderId="8" xfId="0" applyFill="1" applyBorder="1"/>
    <xf numFmtId="0" fontId="4" fillId="2" borderId="2" xfId="0" applyFont="1" applyFill="1" applyBorder="1"/>
    <xf numFmtId="0" fontId="4" fillId="9" borderId="2" xfId="0" applyFont="1" applyFill="1" applyBorder="1"/>
    <xf numFmtId="0" fontId="4" fillId="4" borderId="2" xfId="0" applyFont="1" applyFill="1" applyBorder="1"/>
    <xf numFmtId="0" fontId="4" fillId="10" borderId="2" xfId="0" applyFont="1" applyFill="1" applyBorder="1"/>
    <xf numFmtId="0" fontId="4" fillId="5" borderId="2" xfId="0" applyFont="1" applyFill="1" applyBorder="1"/>
    <xf numFmtId="0" fontId="4" fillId="11" borderId="2" xfId="0" applyFont="1" applyFill="1" applyBorder="1"/>
    <xf numFmtId="0" fontId="4" fillId="16" borderId="2" xfId="0" applyFont="1" applyFill="1" applyBorder="1"/>
    <xf numFmtId="0" fontId="4" fillId="18" borderId="2" xfId="0" applyFont="1" applyFill="1" applyBorder="1"/>
    <xf numFmtId="0" fontId="4" fillId="3" borderId="2" xfId="0" applyFont="1" applyFill="1" applyBorder="1"/>
    <xf numFmtId="0" fontId="4" fillId="21" borderId="2" xfId="0" applyFont="1" applyFill="1" applyBorder="1"/>
    <xf numFmtId="0" fontId="2" fillId="0" borderId="21" xfId="0" applyFont="1" applyBorder="1"/>
    <xf numFmtId="0" fontId="6" fillId="0" borderId="22" xfId="0" applyFont="1" applyBorder="1"/>
    <xf numFmtId="0" fontId="6" fillId="0" borderId="23" xfId="0" applyFont="1" applyBorder="1"/>
    <xf numFmtId="0" fontId="6" fillId="2" borderId="23" xfId="0" applyFont="1" applyFill="1" applyBorder="1"/>
    <xf numFmtId="0" fontId="6" fillId="7" borderId="23" xfId="0" applyFont="1" applyFill="1" applyBorder="1"/>
    <xf numFmtId="0" fontId="6" fillId="4" borderId="23" xfId="0" applyFont="1" applyFill="1" applyBorder="1"/>
    <xf numFmtId="0" fontId="6" fillId="6" borderId="23" xfId="0" applyFont="1" applyFill="1" applyBorder="1"/>
    <xf numFmtId="0" fontId="6" fillId="5" borderId="23" xfId="0" applyFont="1" applyFill="1" applyBorder="1"/>
    <xf numFmtId="0" fontId="6" fillId="11" borderId="23" xfId="0" applyFont="1" applyFill="1" applyBorder="1"/>
    <xf numFmtId="0" fontId="6" fillId="12" borderId="23" xfId="0" applyFont="1" applyFill="1" applyBorder="1"/>
    <xf numFmtId="0" fontId="6" fillId="14" borderId="23" xfId="0" applyFont="1" applyFill="1" applyBorder="1"/>
    <xf numFmtId="0" fontId="6" fillId="8" borderId="23" xfId="0" applyFont="1" applyFill="1" applyBorder="1"/>
    <xf numFmtId="0" fontId="6" fillId="15" borderId="23" xfId="0" applyFont="1" applyFill="1" applyBorder="1"/>
    <xf numFmtId="0" fontId="6" fillId="16" borderId="23" xfId="0" applyFont="1" applyFill="1" applyBorder="1"/>
    <xf numFmtId="0" fontId="6" fillId="19" borderId="23" xfId="0" applyFont="1" applyFill="1" applyBorder="1"/>
    <xf numFmtId="0" fontId="6" fillId="13" borderId="23" xfId="0" applyFont="1" applyFill="1" applyBorder="1"/>
    <xf numFmtId="0" fontId="1" fillId="0" borderId="23" xfId="0" applyFont="1" applyBorder="1"/>
    <xf numFmtId="0" fontId="1" fillId="7" borderId="23" xfId="0" applyFont="1" applyFill="1" applyBorder="1"/>
    <xf numFmtId="0" fontId="1" fillId="3" borderId="23" xfId="0" applyFont="1" applyFill="1" applyBorder="1"/>
    <xf numFmtId="0" fontId="1" fillId="10" borderId="23" xfId="0" applyFont="1" applyFill="1" applyBorder="1"/>
    <xf numFmtId="0" fontId="1" fillId="13" borderId="23" xfId="0" applyFont="1" applyFill="1" applyBorder="1"/>
    <xf numFmtId="0" fontId="1" fillId="0" borderId="22" xfId="0" applyFont="1" applyBorder="1"/>
    <xf numFmtId="0" fontId="1" fillId="0" borderId="0" xfId="0" applyFont="1"/>
    <xf numFmtId="0" fontId="6" fillId="2" borderId="22" xfId="0" applyFont="1" applyFill="1" applyBorder="1"/>
    <xf numFmtId="0" fontId="6" fillId="9" borderId="22" xfId="0" applyFont="1" applyFill="1" applyBorder="1"/>
    <xf numFmtId="0" fontId="6" fillId="6" borderId="22" xfId="0" applyFont="1" applyFill="1" applyBorder="1"/>
    <xf numFmtId="0" fontId="6" fillId="10" borderId="22" xfId="0" applyFont="1" applyFill="1" applyBorder="1"/>
    <xf numFmtId="0" fontId="6" fillId="11" borderId="22" xfId="0" applyFont="1" applyFill="1" applyBorder="1"/>
    <xf numFmtId="0" fontId="6" fillId="12" borderId="22" xfId="0" applyFont="1" applyFill="1" applyBorder="1"/>
    <xf numFmtId="0" fontId="6" fillId="14" borderId="22" xfId="0" applyFont="1" applyFill="1" applyBorder="1"/>
    <xf numFmtId="0" fontId="6" fillId="8" borderId="22" xfId="0" applyFont="1" applyFill="1" applyBorder="1"/>
    <xf numFmtId="0" fontId="6" fillId="17" borderId="22" xfId="0" applyFont="1" applyFill="1" applyBorder="1"/>
    <xf numFmtId="0" fontId="6" fillId="18" borderId="22" xfId="0" applyFont="1" applyFill="1" applyBorder="1"/>
    <xf numFmtId="0" fontId="6" fillId="20" borderId="22" xfId="0" applyFont="1" applyFill="1" applyBorder="1"/>
    <xf numFmtId="0" fontId="1" fillId="3" borderId="22" xfId="0" applyFont="1" applyFill="1" applyBorder="1"/>
    <xf numFmtId="0" fontId="1" fillId="21" borderId="22" xfId="0" applyFont="1" applyFill="1" applyBorder="1"/>
    <xf numFmtId="0" fontId="1" fillId="10" borderId="22" xfId="0" applyFont="1" applyFill="1" applyBorder="1"/>
    <xf numFmtId="0" fontId="1" fillId="0" borderId="24" xfId="0" applyFont="1" applyBorder="1"/>
    <xf numFmtId="0" fontId="1" fillId="8" borderId="25" xfId="0" applyFont="1" applyFill="1" applyBorder="1"/>
    <xf numFmtId="0" fontId="3" fillId="0" borderId="0" xfId="0" applyFont="1"/>
    <xf numFmtId="0" fontId="6" fillId="0" borderId="8" xfId="0" applyFont="1" applyBorder="1"/>
    <xf numFmtId="0" fontId="6" fillId="0" borderId="2" xfId="0" applyFont="1" applyBorder="1"/>
    <xf numFmtId="0" fontId="6" fillId="0" borderId="3" xfId="0" applyFont="1" applyBorder="1"/>
    <xf numFmtId="0" fontId="6" fillId="0" borderId="1" xfId="0" applyFont="1" applyBorder="1"/>
    <xf numFmtId="20" fontId="4" fillId="0" borderId="3" xfId="0" applyNumberFormat="1" applyFont="1" applyBorder="1"/>
    <xf numFmtId="0" fontId="4" fillId="9" borderId="0" xfId="0" applyFont="1" applyFill="1"/>
    <xf numFmtId="0" fontId="4" fillId="22" borderId="3" xfId="0" applyFont="1" applyFill="1" applyBorder="1"/>
    <xf numFmtId="0" fontId="4" fillId="3" borderId="10" xfId="0" applyFont="1" applyFill="1" applyBorder="1"/>
    <xf numFmtId="0" fontId="4" fillId="13" borderId="9" xfId="0" applyFont="1" applyFill="1" applyBorder="1"/>
    <xf numFmtId="0" fontId="4" fillId="13" borderId="5" xfId="0" applyFont="1" applyFill="1" applyBorder="1"/>
    <xf numFmtId="0" fontId="4" fillId="13" borderId="0" xfId="0" applyFont="1" applyFill="1"/>
    <xf numFmtId="0" fontId="4" fillId="13" borderId="6" xfId="0" applyFont="1" applyFill="1" applyBorder="1"/>
    <xf numFmtId="0" fontId="4" fillId="13" borderId="4" xfId="0" applyFont="1" applyFill="1" applyBorder="1"/>
    <xf numFmtId="0" fontId="4" fillId="23" borderId="9" xfId="0" applyFont="1" applyFill="1" applyBorder="1"/>
    <xf numFmtId="0" fontId="4" fillId="23" borderId="5" xfId="0" applyFont="1" applyFill="1" applyBorder="1"/>
    <xf numFmtId="0" fontId="4" fillId="23" borderId="0" xfId="0" applyFont="1" applyFill="1"/>
    <xf numFmtId="0" fontId="4" fillId="23" borderId="6" xfId="0" applyFont="1" applyFill="1" applyBorder="1"/>
    <xf numFmtId="0" fontId="4" fillId="23" borderId="1" xfId="0" applyFont="1" applyFill="1" applyBorder="1"/>
    <xf numFmtId="0" fontId="4" fillId="23" borderId="8" xfId="0" applyFont="1" applyFill="1" applyBorder="1"/>
    <xf numFmtId="0" fontId="6" fillId="23" borderId="23" xfId="0" applyFont="1" applyFill="1" applyBorder="1"/>
    <xf numFmtId="0" fontId="4" fillId="23" borderId="2" xfId="0" applyFont="1" applyFill="1" applyBorder="1"/>
    <xf numFmtId="0" fontId="4" fillId="23" borderId="3" xfId="0" applyFont="1" applyFill="1" applyBorder="1"/>
    <xf numFmtId="0" fontId="4" fillId="23" borderId="12" xfId="0" applyFont="1" applyFill="1" applyBorder="1"/>
    <xf numFmtId="0" fontId="4" fillId="23" borderId="7" xfId="0" applyFont="1" applyFill="1" applyBorder="1"/>
    <xf numFmtId="0" fontId="4" fillId="23" borderId="4" xfId="0" applyFont="1" applyFill="1" applyBorder="1"/>
    <xf numFmtId="0" fontId="6" fillId="23" borderId="22" xfId="0" applyFont="1" applyFill="1" applyBorder="1"/>
    <xf numFmtId="0" fontId="4" fillId="23" borderId="10" xfId="0" applyFont="1" applyFill="1" applyBorder="1"/>
    <xf numFmtId="0" fontId="4" fillId="4" borderId="3" xfId="0" applyFont="1" applyFill="1" applyBorder="1"/>
    <xf numFmtId="0" fontId="6" fillId="4" borderId="22" xfId="0" applyFont="1" applyFill="1" applyBorder="1"/>
    <xf numFmtId="0" fontId="4" fillId="4" borderId="0" xfId="0" applyFont="1" applyFill="1"/>
    <xf numFmtId="0" fontId="4" fillId="4" borderId="6" xfId="0" applyFont="1" applyFill="1" applyBorder="1"/>
    <xf numFmtId="0" fontId="4" fillId="6" borderId="12" xfId="0" applyFont="1" applyFill="1" applyBorder="1"/>
    <xf numFmtId="0" fontId="4" fillId="6" borderId="7" xfId="0" applyFont="1" applyFill="1" applyBorder="1"/>
    <xf numFmtId="0" fontId="4" fillId="6" borderId="0" xfId="0" applyFont="1" applyFill="1"/>
    <xf numFmtId="0" fontId="4" fillId="6" borderId="5" xfId="0" applyFont="1" applyFill="1" applyBorder="1"/>
    <xf numFmtId="0" fontId="4" fillId="6" borderId="3" xfId="0" applyFont="1" applyFill="1" applyBorder="1"/>
    <xf numFmtId="0" fontId="4" fillId="6" borderId="6" xfId="0" applyFont="1" applyFill="1" applyBorder="1"/>
    <xf numFmtId="0" fontId="4" fillId="2" borderId="12" xfId="0" applyFont="1" applyFill="1" applyBorder="1"/>
    <xf numFmtId="0" fontId="4" fillId="2" borderId="9" xfId="0" applyFont="1" applyFill="1" applyBorder="1"/>
    <xf numFmtId="0" fontId="4" fillId="2" borderId="5" xfId="0" applyFont="1" applyFill="1" applyBorder="1"/>
    <xf numFmtId="0" fontId="4" fillId="2" borderId="3" xfId="0" applyFont="1" applyFill="1" applyBorder="1"/>
    <xf numFmtId="0" fontId="4" fillId="11" borderId="12" xfId="0" applyFont="1" applyFill="1" applyBorder="1"/>
    <xf numFmtId="0" fontId="4" fillId="11" borderId="7" xfId="0" applyFont="1" applyFill="1" applyBorder="1"/>
    <xf numFmtId="0" fontId="4" fillId="11" borderId="0" xfId="0" applyFont="1" applyFill="1"/>
    <xf numFmtId="0" fontId="0" fillId="11" borderId="1" xfId="0" applyFill="1" applyBorder="1"/>
    <xf numFmtId="0" fontId="0" fillId="11" borderId="8" xfId="0" applyFill="1" applyBorder="1"/>
    <xf numFmtId="0" fontId="1" fillId="11" borderId="23" xfId="0" applyFont="1" applyFill="1" applyBorder="1"/>
    <xf numFmtId="0" fontId="4" fillId="24" borderId="8" xfId="0" applyFont="1" applyFill="1" applyBorder="1"/>
    <xf numFmtId="0" fontId="4" fillId="24" borderId="2" xfId="0" applyFont="1" applyFill="1" applyBorder="1"/>
    <xf numFmtId="20" fontId="4" fillId="24" borderId="3" xfId="0" applyNumberFormat="1" applyFont="1" applyFill="1" applyBorder="1"/>
    <xf numFmtId="0" fontId="4" fillId="24" borderId="1" xfId="0" applyFont="1" applyFill="1" applyBorder="1"/>
    <xf numFmtId="0" fontId="6" fillId="24" borderId="22" xfId="0" applyFont="1" applyFill="1" applyBorder="1"/>
    <xf numFmtId="0" fontId="4" fillId="24" borderId="0" xfId="0" applyFont="1" applyFill="1"/>
    <xf numFmtId="0" fontId="4" fillId="24" borderId="9" xfId="0" applyFont="1" applyFill="1" applyBorder="1"/>
    <xf numFmtId="0" fontId="4" fillId="24" borderId="5" xfId="0" applyFont="1" applyFill="1" applyBorder="1"/>
    <xf numFmtId="0" fontId="4" fillId="24" borderId="3" xfId="0" applyFont="1" applyFill="1" applyBorder="1"/>
    <xf numFmtId="0" fontId="6" fillId="24" borderId="23" xfId="0" applyFont="1" applyFill="1" applyBorder="1"/>
    <xf numFmtId="0" fontId="4" fillId="25" borderId="8" xfId="0" applyFont="1" applyFill="1" applyBorder="1"/>
    <xf numFmtId="0" fontId="4" fillId="25" borderId="2" xfId="0" applyFont="1" applyFill="1" applyBorder="1"/>
    <xf numFmtId="0" fontId="4" fillId="25" borderId="3" xfId="0" applyFont="1" applyFill="1" applyBorder="1"/>
    <xf numFmtId="0" fontId="4" fillId="25" borderId="1" xfId="0" applyFont="1" applyFill="1" applyBorder="1"/>
    <xf numFmtId="0" fontId="6" fillId="25" borderId="22" xfId="0" applyFont="1" applyFill="1" applyBorder="1"/>
    <xf numFmtId="0" fontId="4" fillId="25" borderId="0" xfId="0" applyFont="1" applyFill="1"/>
    <xf numFmtId="0" fontId="4" fillId="14" borderId="7" xfId="0" applyFont="1" applyFill="1" applyBorder="1"/>
    <xf numFmtId="0" fontId="4" fillId="14" borderId="11" xfId="0" applyFont="1" applyFill="1" applyBorder="1"/>
    <xf numFmtId="0" fontId="4" fillId="7" borderId="6" xfId="0" applyFont="1" applyFill="1" applyBorder="1"/>
    <xf numFmtId="0" fontId="4" fillId="7" borderId="0" xfId="0" applyFont="1" applyFill="1"/>
    <xf numFmtId="0" fontId="4" fillId="26" borderId="8" xfId="0" applyFont="1" applyFill="1" applyBorder="1"/>
    <xf numFmtId="0" fontId="4" fillId="26" borderId="2" xfId="0" applyFont="1" applyFill="1" applyBorder="1"/>
    <xf numFmtId="0" fontId="4" fillId="26" borderId="3" xfId="0" applyFont="1" applyFill="1" applyBorder="1"/>
    <xf numFmtId="0" fontId="4" fillId="26" borderId="1" xfId="0" applyFont="1" applyFill="1" applyBorder="1"/>
    <xf numFmtId="0" fontId="6" fillId="26" borderId="22" xfId="0" applyFont="1" applyFill="1" applyBorder="1"/>
    <xf numFmtId="0" fontId="4" fillId="26" borderId="0" xfId="0" applyFont="1" applyFill="1"/>
    <xf numFmtId="0" fontId="6" fillId="10" borderId="23" xfId="0" applyFont="1" applyFill="1" applyBorder="1"/>
    <xf numFmtId="0" fontId="4" fillId="3" borderId="5" xfId="0" applyFont="1" applyFill="1" applyBorder="1"/>
    <xf numFmtId="0" fontId="6" fillId="3" borderId="23" xfId="0" applyFont="1" applyFill="1" applyBorder="1"/>
    <xf numFmtId="0" fontId="6" fillId="3" borderId="22" xfId="0" applyFont="1" applyFill="1" applyBorder="1"/>
    <xf numFmtId="0" fontId="4" fillId="27" borderId="8" xfId="0" applyFont="1" applyFill="1" applyBorder="1"/>
    <xf numFmtId="0" fontId="4" fillId="27" borderId="2" xfId="0" applyFont="1" applyFill="1" applyBorder="1"/>
    <xf numFmtId="0" fontId="4" fillId="27" borderId="3" xfId="0" applyFont="1" applyFill="1" applyBorder="1"/>
    <xf numFmtId="0" fontId="4" fillId="27" borderId="1" xfId="0" applyFont="1" applyFill="1" applyBorder="1"/>
    <xf numFmtId="0" fontId="6" fillId="27" borderId="23" xfId="0" applyFont="1" applyFill="1" applyBorder="1"/>
    <xf numFmtId="0" fontId="4" fillId="27" borderId="0" xfId="0" applyFont="1" applyFill="1"/>
    <xf numFmtId="0" fontId="4" fillId="28" borderId="8" xfId="0" applyFont="1" applyFill="1" applyBorder="1"/>
    <xf numFmtId="0" fontId="4" fillId="28" borderId="2" xfId="0" applyFont="1" applyFill="1" applyBorder="1"/>
    <xf numFmtId="0" fontId="4" fillId="28" borderId="3" xfId="0" applyFont="1" applyFill="1" applyBorder="1"/>
    <xf numFmtId="0" fontId="4" fillId="28" borderId="6" xfId="0" applyFont="1" applyFill="1" applyBorder="1"/>
    <xf numFmtId="0" fontId="4" fillId="28" borderId="1" xfId="0" applyFont="1" applyFill="1" applyBorder="1"/>
    <xf numFmtId="0" fontId="6" fillId="28" borderId="22" xfId="0" applyFont="1" applyFill="1" applyBorder="1"/>
    <xf numFmtId="0" fontId="4" fillId="28" borderId="0" xfId="0" applyFont="1" applyFill="1"/>
    <xf numFmtId="0" fontId="4" fillId="29" borderId="9" xfId="0" applyFont="1" applyFill="1" applyBorder="1"/>
    <xf numFmtId="0" fontId="4" fillId="29" borderId="5" xfId="0" applyFont="1" applyFill="1" applyBorder="1"/>
    <xf numFmtId="0" fontId="4" fillId="29" borderId="2" xfId="0" applyFont="1" applyFill="1" applyBorder="1"/>
    <xf numFmtId="0" fontId="4" fillId="29" borderId="8" xfId="0" applyFont="1" applyFill="1" applyBorder="1"/>
    <xf numFmtId="0" fontId="4" fillId="29" borderId="1" xfId="0" applyFont="1" applyFill="1" applyBorder="1"/>
    <xf numFmtId="0" fontId="6" fillId="29" borderId="22" xfId="0" applyFont="1" applyFill="1" applyBorder="1"/>
    <xf numFmtId="0" fontId="4" fillId="29" borderId="0" xfId="0" applyFont="1" applyFill="1"/>
    <xf numFmtId="0" fontId="4" fillId="30" borderId="8" xfId="0" applyFont="1" applyFill="1" applyBorder="1"/>
    <xf numFmtId="0" fontId="4" fillId="30" borderId="2" xfId="0" applyFont="1" applyFill="1" applyBorder="1"/>
    <xf numFmtId="0" fontId="4" fillId="30" borderId="3" xfId="0" applyFont="1" applyFill="1" applyBorder="1"/>
    <xf numFmtId="0" fontId="4" fillId="30" borderId="1" xfId="0" applyFont="1" applyFill="1" applyBorder="1"/>
    <xf numFmtId="0" fontId="6" fillId="30" borderId="22" xfId="0" applyFont="1" applyFill="1" applyBorder="1"/>
    <xf numFmtId="0" fontId="4" fillId="30" borderId="0" xfId="0" applyFont="1" applyFill="1"/>
    <xf numFmtId="0" fontId="4" fillId="18" borderId="6" xfId="0" applyFont="1" applyFill="1" applyBorder="1"/>
    <xf numFmtId="0" fontId="6" fillId="18" borderId="23" xfId="0" applyFont="1" applyFill="1" applyBorder="1"/>
    <xf numFmtId="0" fontId="4" fillId="18" borderId="0" xfId="0" applyFont="1" applyFill="1"/>
    <xf numFmtId="0" fontId="0" fillId="2" borderId="1" xfId="0" applyFill="1" applyBorder="1"/>
    <xf numFmtId="0" fontId="0" fillId="2" borderId="8" xfId="0" applyFill="1" applyBorder="1"/>
    <xf numFmtId="0" fontId="1" fillId="2" borderId="22" xfId="0" applyFont="1" applyFill="1" applyBorder="1"/>
    <xf numFmtId="0" fontId="4" fillId="22" borderId="8" xfId="0" applyFont="1" applyFill="1" applyBorder="1"/>
    <xf numFmtId="0" fontId="4" fillId="22" borderId="1" xfId="0" applyFont="1" applyFill="1" applyBorder="1"/>
    <xf numFmtId="0" fontId="0" fillId="22" borderId="1" xfId="0" applyFill="1" applyBorder="1"/>
    <xf numFmtId="0" fontId="0" fillId="22" borderId="8" xfId="0" applyFill="1" applyBorder="1"/>
    <xf numFmtId="0" fontId="1" fillId="22" borderId="23" xfId="0" applyFont="1" applyFill="1" applyBorder="1"/>
    <xf numFmtId="0" fontId="4" fillId="22" borderId="0" xfId="0" applyFont="1" applyFill="1"/>
    <xf numFmtId="0" fontId="1" fillId="22" borderId="22" xfId="0" applyFont="1" applyFill="1" applyBorder="1"/>
    <xf numFmtId="0" fontId="4" fillId="0" borderId="0" xfId="0" applyFont="1" applyFill="1" applyBorder="1"/>
    <xf numFmtId="0" fontId="0" fillId="0" borderId="0" xfId="0" applyFill="1" applyBorder="1"/>
    <xf numFmtId="0" fontId="4" fillId="0" borderId="16" xfId="0" applyFont="1" applyFill="1" applyBorder="1"/>
    <xf numFmtId="0" fontId="4" fillId="0" borderId="17" xfId="0" applyFont="1" applyFill="1" applyBorder="1"/>
    <xf numFmtId="0" fontId="2" fillId="0" borderId="0" xfId="0" applyFont="1" applyBorder="1"/>
    <xf numFmtId="0" fontId="3" fillId="0" borderId="0" xfId="0" applyFont="1" applyBorder="1"/>
    <xf numFmtId="0" fontId="6" fillId="0" borderId="0" xfId="0" applyFont="1" applyBorder="1"/>
    <xf numFmtId="0" fontId="4" fillId="0" borderId="0" xfId="0" applyFont="1" applyBorder="1"/>
    <xf numFmtId="0" fontId="0" fillId="0" borderId="0" xfId="0" applyBorder="1"/>
    <xf numFmtId="0" fontId="6" fillId="0" borderId="0" xfId="0" applyFont="1" applyFill="1" applyBorder="1"/>
    <xf numFmtId="0" fontId="4" fillId="7" borderId="0" xfId="0" applyFont="1" applyFill="1" applyBorder="1"/>
    <xf numFmtId="0" fontId="6" fillId="0" borderId="13" xfId="0" applyFont="1" applyBorder="1"/>
    <xf numFmtId="0" fontId="6" fillId="0" borderId="15" xfId="0" applyFont="1" applyBorder="1"/>
    <xf numFmtId="0" fontId="6" fillId="0" borderId="14" xfId="0" applyFont="1" applyBorder="1"/>
    <xf numFmtId="0" fontId="0" fillId="0" borderId="17" xfId="0" applyBorder="1"/>
    <xf numFmtId="0" fontId="0" fillId="0" borderId="19" xfId="0" applyBorder="1"/>
    <xf numFmtId="0" fontId="0" fillId="0" borderId="20" xfId="0" applyBorder="1"/>
    <xf numFmtId="0" fontId="4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9966FF"/>
      <color rgb="FFFF00FF"/>
      <color rgb="FF666699"/>
      <color rgb="FFFFCC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2C8F4-6E21-443F-AB5D-275751B88BD8}">
  <dimension ref="A1:O58"/>
  <sheetViews>
    <sheetView workbookViewId="0">
      <selection activeCell="G6" sqref="G6"/>
    </sheetView>
  </sheetViews>
  <sheetFormatPr baseColWidth="10" defaultRowHeight="15" x14ac:dyDescent="0.25"/>
  <cols>
    <col min="1" max="1" width="3.28515625" customWidth="1"/>
    <col min="2" max="2" width="6.140625" customWidth="1"/>
    <col min="3" max="3" width="12.28515625" customWidth="1"/>
    <col min="4" max="4" width="15.140625" customWidth="1"/>
    <col min="5" max="5" width="15.28515625" customWidth="1"/>
    <col min="8" max="8" width="9.42578125" style="164" customWidth="1"/>
    <col min="9" max="9" width="20.28515625" customWidth="1"/>
    <col min="12" max="12" width="16.7109375" customWidth="1"/>
    <col min="13" max="13" width="23.85546875" customWidth="1"/>
  </cols>
  <sheetData>
    <row r="1" spans="1:15" s="1" customFormat="1" ht="25.15" customHeight="1" x14ac:dyDescent="0.3">
      <c r="A1" s="1" t="s">
        <v>108</v>
      </c>
      <c r="H1" s="142" t="s">
        <v>116</v>
      </c>
      <c r="L1" s="107" t="s">
        <v>214</v>
      </c>
      <c r="M1" s="108"/>
      <c r="N1" s="109"/>
    </row>
    <row r="2" spans="1:15" s="17" customFormat="1" ht="15.75" x14ac:dyDescent="0.25">
      <c r="A2" s="17" t="s">
        <v>89</v>
      </c>
      <c r="C2" s="17" t="s">
        <v>90</v>
      </c>
      <c r="D2" s="17" t="s">
        <v>91</v>
      </c>
      <c r="E2" s="17" t="s">
        <v>109</v>
      </c>
      <c r="F2" s="17" t="s">
        <v>112</v>
      </c>
      <c r="G2" s="17" t="s">
        <v>113</v>
      </c>
      <c r="H2" s="143" t="s">
        <v>114</v>
      </c>
      <c r="I2" s="17" t="s">
        <v>110</v>
      </c>
      <c r="J2" s="17" t="s">
        <v>115</v>
      </c>
      <c r="L2" s="110"/>
      <c r="M2" s="181"/>
      <c r="N2" s="111"/>
    </row>
    <row r="3" spans="1:15" s="3" customFormat="1" ht="13.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>
        <v>3.5</v>
      </c>
      <c r="G3" s="11">
        <f>F3+F16+F18+F37+F39</f>
        <v>19.5</v>
      </c>
      <c r="H3" s="144"/>
      <c r="I3" s="5"/>
      <c r="J3" s="2">
        <v>19.5</v>
      </c>
      <c r="L3" s="112" t="s">
        <v>91</v>
      </c>
      <c r="M3" s="17" t="s">
        <v>117</v>
      </c>
      <c r="N3" s="113" t="s">
        <v>112</v>
      </c>
    </row>
    <row r="4" spans="1:15" s="3" customFormat="1" ht="13.5" x14ac:dyDescent="0.25">
      <c r="A4" s="18" t="s">
        <v>5</v>
      </c>
      <c r="B4" s="18" t="s">
        <v>6</v>
      </c>
      <c r="C4" s="18" t="s">
        <v>7</v>
      </c>
      <c r="D4" s="18" t="s">
        <v>8</v>
      </c>
      <c r="E4" s="18"/>
      <c r="F4" s="18">
        <v>5</v>
      </c>
      <c r="G4" s="119">
        <f>F4+F11+F25</f>
        <v>15</v>
      </c>
      <c r="H4" s="165">
        <f>G4</f>
        <v>15</v>
      </c>
      <c r="I4" s="132" t="s">
        <v>9</v>
      </c>
      <c r="J4" s="2"/>
      <c r="L4" s="114" t="s">
        <v>137</v>
      </c>
      <c r="M4" s="3" t="s">
        <v>138</v>
      </c>
      <c r="N4" s="115">
        <f>H12</f>
        <v>16</v>
      </c>
      <c r="O4" s="3" t="s">
        <v>158</v>
      </c>
    </row>
    <row r="5" spans="1:15" s="3" customFormat="1" ht="13.5" x14ac:dyDescent="0.25">
      <c r="A5" s="34" t="s">
        <v>5</v>
      </c>
      <c r="B5" s="34" t="s">
        <v>6</v>
      </c>
      <c r="C5" s="34" t="s">
        <v>7</v>
      </c>
      <c r="D5" s="34" t="s">
        <v>10</v>
      </c>
      <c r="E5" s="34"/>
      <c r="F5" s="34">
        <v>5</v>
      </c>
      <c r="G5" s="37">
        <f>F5+F48</f>
        <v>8</v>
      </c>
      <c r="H5" s="146">
        <v>8</v>
      </c>
      <c r="I5" s="35" t="s">
        <v>11</v>
      </c>
      <c r="J5" s="2"/>
      <c r="L5" s="114" t="s">
        <v>151</v>
      </c>
      <c r="M5" s="3" t="s">
        <v>152</v>
      </c>
      <c r="N5" s="115">
        <f>H33</f>
        <v>4</v>
      </c>
    </row>
    <row r="6" spans="1:15" s="3" customFormat="1" ht="13.5" x14ac:dyDescent="0.25">
      <c r="A6" s="46" t="s">
        <v>5</v>
      </c>
      <c r="B6" s="46" t="s">
        <v>6</v>
      </c>
      <c r="C6" s="46" t="s">
        <v>107</v>
      </c>
      <c r="D6" s="46" t="s">
        <v>12</v>
      </c>
      <c r="E6" s="46"/>
      <c r="F6" s="46">
        <v>4</v>
      </c>
      <c r="G6" s="120">
        <f>F6</f>
        <v>4</v>
      </c>
      <c r="H6" s="166">
        <f>G6</f>
        <v>4</v>
      </c>
      <c r="I6" s="133" t="s">
        <v>13</v>
      </c>
      <c r="J6" s="2"/>
      <c r="L6" s="114" t="s">
        <v>118</v>
      </c>
      <c r="M6" s="3" t="s">
        <v>119</v>
      </c>
      <c r="N6" s="115">
        <f>H6</f>
        <v>4</v>
      </c>
    </row>
    <row r="7" spans="1:15" s="3" customFormat="1" ht="13.5" x14ac:dyDescent="0.25">
      <c r="A7" s="28" t="s">
        <v>5</v>
      </c>
      <c r="B7" s="28" t="s">
        <v>6</v>
      </c>
      <c r="C7" s="28" t="s">
        <v>14</v>
      </c>
      <c r="D7" s="28" t="s">
        <v>15</v>
      </c>
      <c r="E7" s="28"/>
      <c r="F7" s="28">
        <v>4.5</v>
      </c>
      <c r="G7" s="121">
        <f>F7</f>
        <v>4.5</v>
      </c>
      <c r="H7" s="147">
        <f>G7</f>
        <v>4.5</v>
      </c>
      <c r="I7" s="134" t="s">
        <v>16</v>
      </c>
      <c r="J7" s="2"/>
      <c r="L7" s="114" t="s">
        <v>120</v>
      </c>
      <c r="M7" s="3" t="s">
        <v>136</v>
      </c>
      <c r="N7" s="115">
        <f>H5</f>
        <v>8</v>
      </c>
      <c r="O7" s="3" t="s">
        <v>158</v>
      </c>
    </row>
    <row r="8" spans="1:15" s="3" customFormat="1" ht="13.5" x14ac:dyDescent="0.25">
      <c r="A8" s="31" t="s">
        <v>17</v>
      </c>
      <c r="B8" s="31" t="s">
        <v>18</v>
      </c>
      <c r="C8" s="31" t="s">
        <v>19</v>
      </c>
      <c r="D8" s="31" t="s">
        <v>20</v>
      </c>
      <c r="E8" s="31"/>
      <c r="F8" s="31">
        <v>4</v>
      </c>
      <c r="G8" s="122">
        <f>F8+F10+F26</f>
        <v>14</v>
      </c>
      <c r="H8" s="167">
        <f>G8</f>
        <v>14</v>
      </c>
      <c r="I8" s="32" t="s">
        <v>21</v>
      </c>
      <c r="J8" s="2"/>
      <c r="L8" s="114" t="s">
        <v>139</v>
      </c>
      <c r="M8" s="3" t="s">
        <v>140</v>
      </c>
      <c r="N8" s="115">
        <f>H14</f>
        <v>9</v>
      </c>
      <c r="O8" s="3" t="s">
        <v>158</v>
      </c>
    </row>
    <row r="9" spans="1:15" s="3" customFormat="1" ht="13.5" x14ac:dyDescent="0.25">
      <c r="A9" s="2" t="s">
        <v>22</v>
      </c>
      <c r="B9" s="2" t="s">
        <v>23</v>
      </c>
      <c r="C9" s="2" t="s">
        <v>24</v>
      </c>
      <c r="D9" s="2" t="s">
        <v>25</v>
      </c>
      <c r="E9" s="2" t="s">
        <v>4</v>
      </c>
      <c r="F9" s="2">
        <v>3.5</v>
      </c>
      <c r="G9" s="11">
        <f>F9+F46</f>
        <v>7.5</v>
      </c>
      <c r="H9" s="144"/>
      <c r="I9" s="5"/>
      <c r="J9" s="2">
        <f>G9</f>
        <v>7.5</v>
      </c>
      <c r="L9" s="114" t="s">
        <v>121</v>
      </c>
      <c r="M9" s="3" t="s">
        <v>122</v>
      </c>
      <c r="N9" s="115">
        <f>H7</f>
        <v>4.5</v>
      </c>
    </row>
    <row r="10" spans="1:15" s="3" customFormat="1" ht="13.5" x14ac:dyDescent="0.25">
      <c r="A10" s="31" t="s">
        <v>0</v>
      </c>
      <c r="B10" s="31" t="s">
        <v>26</v>
      </c>
      <c r="C10" s="31" t="s">
        <v>27</v>
      </c>
      <c r="D10" s="31" t="s">
        <v>20</v>
      </c>
      <c r="E10" s="31"/>
      <c r="F10" s="31">
        <v>5</v>
      </c>
      <c r="G10" s="122"/>
      <c r="H10" s="167"/>
      <c r="I10" s="32" t="s">
        <v>21</v>
      </c>
      <c r="J10" s="2"/>
      <c r="L10" s="114" t="s">
        <v>141</v>
      </c>
      <c r="M10" s="3" t="s">
        <v>142</v>
      </c>
      <c r="N10" s="115">
        <f>H15</f>
        <v>20</v>
      </c>
      <c r="O10" s="3" t="s">
        <v>158</v>
      </c>
    </row>
    <row r="11" spans="1:15" s="3" customFormat="1" ht="13.5" x14ac:dyDescent="0.25">
      <c r="A11" s="18" t="s">
        <v>0</v>
      </c>
      <c r="B11" s="18" t="s">
        <v>26</v>
      </c>
      <c r="C11" s="18" t="s">
        <v>27</v>
      </c>
      <c r="D11" s="18" t="s">
        <v>8</v>
      </c>
      <c r="E11" s="18"/>
      <c r="F11" s="18">
        <v>5</v>
      </c>
      <c r="G11" s="119"/>
      <c r="H11" s="145"/>
      <c r="I11" s="132" t="s">
        <v>9</v>
      </c>
      <c r="J11" s="2"/>
      <c r="L11" s="114" t="s">
        <v>123</v>
      </c>
      <c r="M11" s="3" t="s">
        <v>124</v>
      </c>
      <c r="N11" s="115">
        <f>H49</f>
        <v>9</v>
      </c>
    </row>
    <row r="12" spans="1:15" s="3" customFormat="1" ht="13.5" x14ac:dyDescent="0.25">
      <c r="A12" s="48" t="s">
        <v>0</v>
      </c>
      <c r="B12" s="48" t="s">
        <v>26</v>
      </c>
      <c r="C12" s="48" t="s">
        <v>28</v>
      </c>
      <c r="D12" s="48" t="s">
        <v>29</v>
      </c>
      <c r="E12" s="48"/>
      <c r="F12" s="48">
        <v>5</v>
      </c>
      <c r="G12" s="49">
        <f>F12+F52+F53+F54</f>
        <v>16</v>
      </c>
      <c r="H12" s="168">
        <f>G12</f>
        <v>16</v>
      </c>
      <c r="I12" s="135" t="s">
        <v>30</v>
      </c>
      <c r="J12" s="2"/>
      <c r="L12" s="114" t="s">
        <v>145</v>
      </c>
      <c r="M12" s="3" t="s">
        <v>146</v>
      </c>
      <c r="N12" s="115">
        <f>H24</f>
        <v>6</v>
      </c>
    </row>
    <row r="13" spans="1:15" s="3" customFormat="1" ht="13.5" x14ac:dyDescent="0.25">
      <c r="A13" s="29" t="s">
        <v>5</v>
      </c>
      <c r="B13" s="29" t="s">
        <v>31</v>
      </c>
      <c r="C13" s="29" t="s">
        <v>32</v>
      </c>
      <c r="D13" s="29" t="s">
        <v>33</v>
      </c>
      <c r="E13" s="29"/>
      <c r="F13" s="29">
        <v>2.5</v>
      </c>
      <c r="G13" s="123">
        <f>F13</f>
        <v>2.5</v>
      </c>
      <c r="H13" s="149">
        <f>G13</f>
        <v>2.5</v>
      </c>
      <c r="I13" s="136" t="s">
        <v>34</v>
      </c>
      <c r="J13" s="2"/>
      <c r="L13" s="114" t="s">
        <v>143</v>
      </c>
      <c r="M13" s="3" t="s">
        <v>144</v>
      </c>
      <c r="N13" s="115">
        <f>H21</f>
        <v>8</v>
      </c>
      <c r="O13" s="3" t="s">
        <v>158</v>
      </c>
    </row>
    <row r="14" spans="1:15" s="3" customFormat="1" ht="13.5" x14ac:dyDescent="0.25">
      <c r="A14" s="55" t="s">
        <v>0</v>
      </c>
      <c r="B14" s="55" t="s">
        <v>35</v>
      </c>
      <c r="C14" s="55" t="s">
        <v>36</v>
      </c>
      <c r="D14" s="55" t="s">
        <v>37</v>
      </c>
      <c r="E14" s="55"/>
      <c r="F14" s="55">
        <v>5.5</v>
      </c>
      <c r="G14" s="56">
        <f>F14+F28</f>
        <v>9</v>
      </c>
      <c r="H14" s="169">
        <f>G14</f>
        <v>9</v>
      </c>
      <c r="I14" s="137" t="s">
        <v>38</v>
      </c>
      <c r="J14" s="2"/>
      <c r="L14" s="114" t="s">
        <v>125</v>
      </c>
      <c r="M14" s="3" t="s">
        <v>125</v>
      </c>
      <c r="N14" s="115">
        <f>H22</f>
        <v>12</v>
      </c>
      <c r="O14" s="3" t="s">
        <v>158</v>
      </c>
    </row>
    <row r="15" spans="1:15" s="3" customFormat="1" ht="13.5" x14ac:dyDescent="0.25">
      <c r="A15" s="59" t="s">
        <v>0</v>
      </c>
      <c r="B15" s="59" t="s">
        <v>35</v>
      </c>
      <c r="C15" s="59" t="s">
        <v>36</v>
      </c>
      <c r="D15" s="59" t="s">
        <v>39</v>
      </c>
      <c r="E15" s="59"/>
      <c r="F15" s="59">
        <v>5.5</v>
      </c>
      <c r="G15" s="65">
        <f>F15+F23+F29+F32+F42</f>
        <v>20</v>
      </c>
      <c r="H15" s="151">
        <f>G15</f>
        <v>20</v>
      </c>
      <c r="I15" s="60" t="s">
        <v>111</v>
      </c>
      <c r="J15" s="2"/>
      <c r="L15" s="114" t="s">
        <v>126</v>
      </c>
      <c r="M15" s="3" t="s">
        <v>127</v>
      </c>
      <c r="N15" s="115">
        <f>H13</f>
        <v>2.5</v>
      </c>
    </row>
    <row r="16" spans="1:15" s="3" customFormat="1" ht="13.5" x14ac:dyDescent="0.25">
      <c r="A16" s="2" t="s">
        <v>5</v>
      </c>
      <c r="B16" s="2" t="s">
        <v>40</v>
      </c>
      <c r="C16" s="2" t="s">
        <v>41</v>
      </c>
      <c r="D16" s="2" t="s">
        <v>3</v>
      </c>
      <c r="E16" s="2" t="s">
        <v>4</v>
      </c>
      <c r="F16" s="2">
        <v>3.5</v>
      </c>
      <c r="G16" s="11"/>
      <c r="H16" s="143"/>
      <c r="I16" s="5"/>
      <c r="J16" s="2"/>
      <c r="L16" s="114" t="s">
        <v>128</v>
      </c>
      <c r="M16" s="3" t="s">
        <v>129</v>
      </c>
      <c r="N16" s="115">
        <f>H4</f>
        <v>15</v>
      </c>
      <c r="O16" s="3" t="s">
        <v>158</v>
      </c>
    </row>
    <row r="17" spans="1:15" s="3" customFormat="1" ht="13.5" x14ac:dyDescent="0.25">
      <c r="A17" s="2" t="s">
        <v>5</v>
      </c>
      <c r="B17" s="2" t="s">
        <v>40</v>
      </c>
      <c r="C17" s="2" t="s">
        <v>41</v>
      </c>
      <c r="D17" s="2" t="s">
        <v>42</v>
      </c>
      <c r="E17" s="2" t="s">
        <v>4</v>
      </c>
      <c r="F17" s="2">
        <v>3.5</v>
      </c>
      <c r="G17" s="11">
        <f>F17+F19</f>
        <v>7</v>
      </c>
      <c r="H17" s="144"/>
      <c r="I17" s="5"/>
      <c r="J17" s="2">
        <f>G17</f>
        <v>7</v>
      </c>
      <c r="L17" s="114" t="s">
        <v>153</v>
      </c>
      <c r="M17" s="3" t="s">
        <v>154</v>
      </c>
      <c r="N17" s="115">
        <f>H34</f>
        <v>4</v>
      </c>
    </row>
    <row r="18" spans="1:15" s="3" customFormat="1" ht="13.5" x14ac:dyDescent="0.25">
      <c r="A18" s="2" t="s">
        <v>5</v>
      </c>
      <c r="B18" s="2" t="s">
        <v>40</v>
      </c>
      <c r="C18" s="2" t="s">
        <v>43</v>
      </c>
      <c r="D18" s="2" t="s">
        <v>3</v>
      </c>
      <c r="E18" s="2" t="s">
        <v>4</v>
      </c>
      <c r="F18" s="2">
        <v>3.5</v>
      </c>
      <c r="G18" s="11"/>
      <c r="H18" s="143"/>
      <c r="I18" s="5"/>
      <c r="J18" s="2"/>
      <c r="L18" s="114" t="s">
        <v>130</v>
      </c>
      <c r="M18" s="3" t="s">
        <v>131</v>
      </c>
      <c r="N18" s="115">
        <f>H8</f>
        <v>14</v>
      </c>
      <c r="O18" s="3" t="s">
        <v>158</v>
      </c>
    </row>
    <row r="19" spans="1:15" s="3" customFormat="1" ht="13.5" x14ac:dyDescent="0.25">
      <c r="A19" s="2" t="s">
        <v>5</v>
      </c>
      <c r="B19" s="2" t="s">
        <v>40</v>
      </c>
      <c r="C19" s="4" t="s">
        <v>43</v>
      </c>
      <c r="D19" s="2" t="s">
        <v>42</v>
      </c>
      <c r="E19" s="2" t="s">
        <v>4</v>
      </c>
      <c r="F19" s="2">
        <v>3.5</v>
      </c>
      <c r="G19" s="11"/>
      <c r="H19" s="144"/>
      <c r="I19" s="5"/>
      <c r="J19" s="2"/>
      <c r="L19" s="114" t="s">
        <v>149</v>
      </c>
      <c r="M19" s="3" t="s">
        <v>150</v>
      </c>
      <c r="N19" s="115">
        <f>H31</f>
        <v>7.5</v>
      </c>
    </row>
    <row r="20" spans="1:15" s="3" customFormat="1" ht="13.5" x14ac:dyDescent="0.25">
      <c r="A20" s="2" t="s">
        <v>44</v>
      </c>
      <c r="B20" s="5" t="s">
        <v>45</v>
      </c>
      <c r="C20" s="6" t="s">
        <v>46</v>
      </c>
      <c r="D20" s="2" t="s">
        <v>47</v>
      </c>
      <c r="E20" s="7" t="s">
        <v>48</v>
      </c>
      <c r="F20" s="2">
        <v>4</v>
      </c>
      <c r="G20" s="11">
        <f>F20+F47</f>
        <v>8</v>
      </c>
      <c r="H20" s="143"/>
      <c r="I20" s="5"/>
      <c r="J20" s="2">
        <f>G20</f>
        <v>8</v>
      </c>
      <c r="L20" s="114" t="s">
        <v>134</v>
      </c>
      <c r="M20" s="3" t="s">
        <v>135</v>
      </c>
      <c r="N20" s="115">
        <f>H36</f>
        <v>8</v>
      </c>
      <c r="O20" s="3" t="s">
        <v>158</v>
      </c>
    </row>
    <row r="21" spans="1:15" s="3" customFormat="1" ht="13.5" x14ac:dyDescent="0.25">
      <c r="A21" s="72" t="s">
        <v>0</v>
      </c>
      <c r="B21" s="73" t="s">
        <v>49</v>
      </c>
      <c r="C21" s="74" t="s">
        <v>50</v>
      </c>
      <c r="D21" s="72" t="s">
        <v>51</v>
      </c>
      <c r="E21" s="72"/>
      <c r="F21" s="72">
        <v>4</v>
      </c>
      <c r="G21" s="75">
        <f>F21+F41</f>
        <v>8</v>
      </c>
      <c r="H21" s="152">
        <f>G21</f>
        <v>8</v>
      </c>
      <c r="I21" s="73" t="s">
        <v>52</v>
      </c>
      <c r="J21" s="2"/>
      <c r="L21" s="114" t="s">
        <v>155</v>
      </c>
      <c r="M21" s="3" t="s">
        <v>156</v>
      </c>
      <c r="N21" s="115">
        <f>H43</f>
        <v>6</v>
      </c>
    </row>
    <row r="22" spans="1:15" s="3" customFormat="1" ht="13.5" x14ac:dyDescent="0.25">
      <c r="A22" s="39" t="s">
        <v>0</v>
      </c>
      <c r="B22" s="40" t="s">
        <v>49</v>
      </c>
      <c r="C22" s="41" t="s">
        <v>50</v>
      </c>
      <c r="D22" s="42" t="s">
        <v>53</v>
      </c>
      <c r="E22" s="42"/>
      <c r="F22" s="39">
        <v>4</v>
      </c>
      <c r="G22" s="43">
        <f>F22+F35+F57</f>
        <v>12</v>
      </c>
      <c r="H22" s="153">
        <f>G22</f>
        <v>12</v>
      </c>
      <c r="I22" s="44" t="s">
        <v>53</v>
      </c>
      <c r="J22" s="2"/>
      <c r="L22" s="114" t="s">
        <v>155</v>
      </c>
      <c r="M22" s="3" t="s">
        <v>157</v>
      </c>
      <c r="N22" s="115">
        <f>H51</f>
        <v>6</v>
      </c>
    </row>
    <row r="23" spans="1:15" s="3" customFormat="1" ht="13.5" x14ac:dyDescent="0.25">
      <c r="A23" s="59" t="s">
        <v>0</v>
      </c>
      <c r="B23" s="60" t="s">
        <v>49</v>
      </c>
      <c r="C23" s="61" t="s">
        <v>54</v>
      </c>
      <c r="D23" s="59" t="s">
        <v>39</v>
      </c>
      <c r="E23" s="59"/>
      <c r="F23" s="59">
        <v>6</v>
      </c>
      <c r="G23" s="65"/>
      <c r="H23" s="170"/>
      <c r="I23" s="60" t="s">
        <v>55</v>
      </c>
      <c r="J23" s="2"/>
      <c r="L23" s="114" t="s">
        <v>147</v>
      </c>
      <c r="M23" s="3" t="s">
        <v>148</v>
      </c>
      <c r="N23" s="115">
        <f>H30</f>
        <v>5</v>
      </c>
    </row>
    <row r="24" spans="1:15" s="3" customFormat="1" ht="13.5" x14ac:dyDescent="0.25">
      <c r="A24" s="77" t="s">
        <v>0</v>
      </c>
      <c r="B24" s="78" t="s">
        <v>49</v>
      </c>
      <c r="C24" s="79" t="s">
        <v>54</v>
      </c>
      <c r="D24" s="77" t="s">
        <v>56</v>
      </c>
      <c r="E24" s="77"/>
      <c r="F24" s="77">
        <v>6</v>
      </c>
      <c r="G24" s="124">
        <f>F24</f>
        <v>6</v>
      </c>
      <c r="H24" s="154">
        <f>G24</f>
        <v>6</v>
      </c>
      <c r="I24" s="78" t="s">
        <v>57</v>
      </c>
      <c r="J24" s="2"/>
      <c r="L24" s="114"/>
      <c r="N24" s="115"/>
    </row>
    <row r="25" spans="1:15" s="3" customFormat="1" ht="13.5" x14ac:dyDescent="0.25">
      <c r="A25" s="18" t="s">
        <v>58</v>
      </c>
      <c r="B25" s="20" t="s">
        <v>59</v>
      </c>
      <c r="C25" s="19" t="s">
        <v>60</v>
      </c>
      <c r="D25" s="21" t="s">
        <v>8</v>
      </c>
      <c r="E25" s="21"/>
      <c r="F25" s="18">
        <v>5</v>
      </c>
      <c r="G25" s="119"/>
      <c r="H25" s="165"/>
      <c r="I25" s="132" t="s">
        <v>9</v>
      </c>
      <c r="J25" s="2"/>
      <c r="L25" s="112" t="s">
        <v>132</v>
      </c>
      <c r="N25" s="115"/>
    </row>
    <row r="26" spans="1:15" s="3" customFormat="1" ht="14.25" thickBot="1" x14ac:dyDescent="0.3">
      <c r="A26" s="31" t="s">
        <v>58</v>
      </c>
      <c r="B26" s="32" t="s">
        <v>59</v>
      </c>
      <c r="C26" s="33" t="s">
        <v>60</v>
      </c>
      <c r="D26" s="31" t="s">
        <v>20</v>
      </c>
      <c r="E26" s="31"/>
      <c r="F26" s="31">
        <v>5</v>
      </c>
      <c r="G26" s="122"/>
      <c r="H26" s="148"/>
      <c r="I26" s="32" t="s">
        <v>21</v>
      </c>
      <c r="J26" s="2"/>
      <c r="L26" s="116" t="s">
        <v>133</v>
      </c>
      <c r="M26" s="117"/>
      <c r="N26" s="118">
        <f>SUM(N4:N23)</f>
        <v>168.5</v>
      </c>
    </row>
    <row r="27" spans="1:15" s="3" customFormat="1" ht="13.5" x14ac:dyDescent="0.25">
      <c r="A27" s="2" t="s">
        <v>22</v>
      </c>
      <c r="B27" s="5" t="s">
        <v>61</v>
      </c>
      <c r="C27" s="6" t="s">
        <v>46</v>
      </c>
      <c r="D27" s="2" t="s">
        <v>62</v>
      </c>
      <c r="E27" s="2" t="s">
        <v>63</v>
      </c>
      <c r="F27" s="2">
        <v>4</v>
      </c>
      <c r="G27" s="11">
        <f>F27</f>
        <v>4</v>
      </c>
      <c r="H27" s="143"/>
      <c r="I27" s="5"/>
      <c r="J27" s="2">
        <f>G27</f>
        <v>4</v>
      </c>
    </row>
    <row r="28" spans="1:15" s="3" customFormat="1" ht="13.5" x14ac:dyDescent="0.25">
      <c r="A28" s="56" t="s">
        <v>0</v>
      </c>
      <c r="B28" s="55" t="s">
        <v>64</v>
      </c>
      <c r="C28" s="55" t="s">
        <v>65</v>
      </c>
      <c r="D28" s="57" t="s">
        <v>37</v>
      </c>
      <c r="E28" s="58"/>
      <c r="F28" s="55">
        <v>3.5</v>
      </c>
      <c r="G28" s="56"/>
      <c r="H28" s="150"/>
      <c r="I28" s="137" t="s">
        <v>38</v>
      </c>
      <c r="J28" s="2"/>
    </row>
    <row r="29" spans="1:15" s="3" customFormat="1" ht="13.5" x14ac:dyDescent="0.25">
      <c r="A29" s="62" t="s">
        <v>0</v>
      </c>
      <c r="B29" s="63" t="s">
        <v>64</v>
      </c>
      <c r="C29" s="63" t="s">
        <v>66</v>
      </c>
      <c r="D29" s="64" t="s">
        <v>39</v>
      </c>
      <c r="E29" s="59"/>
      <c r="F29" s="59">
        <v>3</v>
      </c>
      <c r="G29" s="65"/>
      <c r="H29" s="170"/>
      <c r="I29" s="60" t="s">
        <v>55</v>
      </c>
      <c r="J29" s="2"/>
    </row>
    <row r="30" spans="1:15" s="3" customFormat="1" ht="13.5" x14ac:dyDescent="0.25">
      <c r="A30" s="80" t="s">
        <v>0</v>
      </c>
      <c r="B30" s="81" t="s">
        <v>64</v>
      </c>
      <c r="C30" s="81" t="s">
        <v>28</v>
      </c>
      <c r="D30" s="82" t="s">
        <v>67</v>
      </c>
      <c r="E30" s="83"/>
      <c r="F30" s="81">
        <v>5</v>
      </c>
      <c r="G30" s="80">
        <f>F30</f>
        <v>5</v>
      </c>
      <c r="H30" s="155">
        <f>G30</f>
        <v>5</v>
      </c>
      <c r="I30" s="138" t="s">
        <v>68</v>
      </c>
      <c r="J30" s="2"/>
    </row>
    <row r="31" spans="1:15" s="3" customFormat="1" ht="13.5" x14ac:dyDescent="0.25">
      <c r="A31" s="84" t="s">
        <v>0</v>
      </c>
      <c r="B31" s="85" t="s">
        <v>64</v>
      </c>
      <c r="C31" s="85" t="s">
        <v>28</v>
      </c>
      <c r="D31" s="86" t="s">
        <v>69</v>
      </c>
      <c r="E31" s="87"/>
      <c r="F31" s="88">
        <v>5</v>
      </c>
      <c r="G31" s="89">
        <f>F31+F45</f>
        <v>7.5</v>
      </c>
      <c r="H31" s="173">
        <f>G31</f>
        <v>7.5</v>
      </c>
      <c r="I31" s="90" t="s">
        <v>70</v>
      </c>
      <c r="J31" s="2"/>
    </row>
    <row r="32" spans="1:15" s="3" customFormat="1" ht="13.5" x14ac:dyDescent="0.25">
      <c r="A32" s="65" t="s">
        <v>58</v>
      </c>
      <c r="B32" s="59" t="s">
        <v>71</v>
      </c>
      <c r="C32" s="59" t="s">
        <v>72</v>
      </c>
      <c r="D32" s="61" t="s">
        <v>39</v>
      </c>
      <c r="E32" s="59"/>
      <c r="F32" s="59">
        <v>1.5</v>
      </c>
      <c r="G32" s="65"/>
      <c r="H32" s="151"/>
      <c r="I32" s="60" t="s">
        <v>55</v>
      </c>
      <c r="J32" s="2"/>
    </row>
    <row r="33" spans="1:10" s="3" customFormat="1" ht="13.5" x14ac:dyDescent="0.25">
      <c r="A33" s="92" t="s">
        <v>58</v>
      </c>
      <c r="B33" s="93" t="s">
        <v>71</v>
      </c>
      <c r="C33" s="93" t="s">
        <v>73</v>
      </c>
      <c r="D33" s="94" t="s">
        <v>74</v>
      </c>
      <c r="E33" s="93"/>
      <c r="F33" s="93">
        <v>4</v>
      </c>
      <c r="G33" s="92">
        <f>F33</f>
        <v>4</v>
      </c>
      <c r="H33" s="174">
        <f>G33</f>
        <v>4</v>
      </c>
      <c r="I33" s="139" t="s">
        <v>75</v>
      </c>
      <c r="J33" s="2"/>
    </row>
    <row r="34" spans="1:10" s="3" customFormat="1" ht="13.5" x14ac:dyDescent="0.25">
      <c r="A34" s="95" t="s">
        <v>58</v>
      </c>
      <c r="B34" s="96" t="s">
        <v>71</v>
      </c>
      <c r="C34" s="97" t="s">
        <v>73</v>
      </c>
      <c r="D34" s="98" t="s">
        <v>76</v>
      </c>
      <c r="E34" s="96"/>
      <c r="F34" s="96">
        <v>4</v>
      </c>
      <c r="G34" s="95">
        <f>F34</f>
        <v>4</v>
      </c>
      <c r="H34" s="156">
        <f>G34</f>
        <v>4</v>
      </c>
      <c r="I34" s="97" t="s">
        <v>77</v>
      </c>
      <c r="J34" s="2"/>
    </row>
    <row r="35" spans="1:10" s="3" customFormat="1" ht="13.5" x14ac:dyDescent="0.25">
      <c r="A35" s="43" t="s">
        <v>78</v>
      </c>
      <c r="B35" s="39" t="s">
        <v>79</v>
      </c>
      <c r="C35" s="44" t="s">
        <v>46</v>
      </c>
      <c r="D35" s="45" t="s">
        <v>53</v>
      </c>
      <c r="E35" s="39"/>
      <c r="F35" s="39">
        <v>4</v>
      </c>
      <c r="G35" s="43"/>
      <c r="H35" s="172"/>
      <c r="I35" s="44" t="s">
        <v>53</v>
      </c>
      <c r="J35" s="2"/>
    </row>
    <row r="36" spans="1:10" s="3" customFormat="1" ht="13.5" x14ac:dyDescent="0.25">
      <c r="A36" s="67" t="s">
        <v>78</v>
      </c>
      <c r="B36" s="68" t="s">
        <v>79</v>
      </c>
      <c r="C36" s="69" t="s">
        <v>46</v>
      </c>
      <c r="D36" s="70" t="s">
        <v>80</v>
      </c>
      <c r="E36" s="68"/>
      <c r="F36" s="68">
        <v>4</v>
      </c>
      <c r="G36" s="67">
        <f>F36+F56</f>
        <v>8</v>
      </c>
      <c r="H36" s="157">
        <f>G36</f>
        <v>8</v>
      </c>
      <c r="I36" s="69" t="s">
        <v>80</v>
      </c>
      <c r="J36" s="2"/>
    </row>
    <row r="37" spans="1:10" s="3" customFormat="1" ht="13.5" x14ac:dyDescent="0.25">
      <c r="A37" s="12" t="s">
        <v>0</v>
      </c>
      <c r="B37" s="9" t="s">
        <v>81</v>
      </c>
      <c r="C37" s="8" t="s">
        <v>82</v>
      </c>
      <c r="D37" s="13" t="s">
        <v>3</v>
      </c>
      <c r="E37" s="9" t="s">
        <v>4</v>
      </c>
      <c r="F37" s="2">
        <v>4.5</v>
      </c>
      <c r="G37" s="11"/>
      <c r="H37" s="143"/>
      <c r="I37" s="10"/>
      <c r="J37" s="2"/>
    </row>
    <row r="38" spans="1:10" s="3" customFormat="1" ht="13.5" x14ac:dyDescent="0.25">
      <c r="A38" s="11" t="s">
        <v>0</v>
      </c>
      <c r="B38" s="2" t="s">
        <v>81</v>
      </c>
      <c r="C38" s="5" t="s">
        <v>82</v>
      </c>
      <c r="D38" s="3" t="s">
        <v>83</v>
      </c>
      <c r="E38" s="2" t="s">
        <v>4</v>
      </c>
      <c r="F38" s="2">
        <v>4.5</v>
      </c>
      <c r="G38" s="11">
        <f>F38+F40+F55</f>
        <v>12</v>
      </c>
      <c r="H38" s="144"/>
      <c r="I38" s="5"/>
      <c r="J38" s="2">
        <f>G38</f>
        <v>12</v>
      </c>
    </row>
    <row r="39" spans="1:10" s="3" customFormat="1" ht="13.5" x14ac:dyDescent="0.25">
      <c r="A39" s="11" t="s">
        <v>0</v>
      </c>
      <c r="B39" s="2" t="s">
        <v>81</v>
      </c>
      <c r="C39" s="5" t="s">
        <v>14</v>
      </c>
      <c r="D39" s="6" t="s">
        <v>3</v>
      </c>
      <c r="E39" s="2" t="s">
        <v>4</v>
      </c>
      <c r="F39" s="2">
        <v>4.5</v>
      </c>
      <c r="G39" s="11"/>
      <c r="H39" s="143"/>
      <c r="I39" s="5"/>
      <c r="J39" s="2"/>
    </row>
    <row r="40" spans="1:10" s="3" customFormat="1" ht="13.5" x14ac:dyDescent="0.25">
      <c r="A40" s="11" t="s">
        <v>0</v>
      </c>
      <c r="B40" s="2" t="s">
        <v>81</v>
      </c>
      <c r="C40" s="5" t="s">
        <v>14</v>
      </c>
      <c r="D40" s="6" t="s">
        <v>83</v>
      </c>
      <c r="E40" s="2" t="s">
        <v>4</v>
      </c>
      <c r="F40" s="2">
        <v>4.5</v>
      </c>
      <c r="G40" s="11"/>
      <c r="H40" s="144"/>
      <c r="I40" s="5"/>
      <c r="J40" s="2"/>
    </row>
    <row r="41" spans="1:10" s="3" customFormat="1" ht="13.5" x14ac:dyDescent="0.25">
      <c r="A41" s="75" t="s">
        <v>0</v>
      </c>
      <c r="B41" s="72" t="s">
        <v>84</v>
      </c>
      <c r="C41" s="73" t="s">
        <v>50</v>
      </c>
      <c r="D41" s="76" t="s">
        <v>51</v>
      </c>
      <c r="E41" s="72"/>
      <c r="F41" s="72">
        <v>4</v>
      </c>
      <c r="G41" s="75"/>
      <c r="H41" s="171"/>
      <c r="I41" s="73" t="s">
        <v>52</v>
      </c>
      <c r="J41" s="2"/>
    </row>
    <row r="42" spans="1:10" s="3" customFormat="1" ht="13.5" x14ac:dyDescent="0.25">
      <c r="A42" s="62" t="s">
        <v>0</v>
      </c>
      <c r="B42" s="63" t="s">
        <v>84</v>
      </c>
      <c r="C42" s="66" t="s">
        <v>50</v>
      </c>
      <c r="D42" s="61" t="s">
        <v>39</v>
      </c>
      <c r="E42" s="63"/>
      <c r="F42" s="59">
        <v>4</v>
      </c>
      <c r="G42" s="65"/>
      <c r="H42" s="151"/>
      <c r="I42" s="60" t="s">
        <v>55</v>
      </c>
      <c r="J42" s="2"/>
    </row>
    <row r="43" spans="1:10" s="3" customFormat="1" ht="13.5" x14ac:dyDescent="0.25">
      <c r="A43" s="99" t="s">
        <v>0</v>
      </c>
      <c r="B43" s="100" t="s">
        <v>84</v>
      </c>
      <c r="C43" s="101" t="s">
        <v>54</v>
      </c>
      <c r="D43" s="102" t="s">
        <v>85</v>
      </c>
      <c r="E43" s="100"/>
      <c r="F43" s="100">
        <v>6</v>
      </c>
      <c r="G43" s="99">
        <f>F43</f>
        <v>6</v>
      </c>
      <c r="H43" s="175">
        <f>G43</f>
        <v>6</v>
      </c>
      <c r="I43" s="101" t="s">
        <v>86</v>
      </c>
      <c r="J43" s="2"/>
    </row>
    <row r="44" spans="1:10" s="3" customFormat="1" ht="13.5" x14ac:dyDescent="0.25">
      <c r="A44" s="15" t="s">
        <v>0</v>
      </c>
      <c r="B44" s="14" t="s">
        <v>84</v>
      </c>
      <c r="C44" s="10" t="s">
        <v>54</v>
      </c>
      <c r="D44" s="3" t="s">
        <v>87</v>
      </c>
      <c r="E44" s="14" t="s">
        <v>4</v>
      </c>
      <c r="F44" s="2">
        <v>6</v>
      </c>
      <c r="G44" s="11">
        <f>F44</f>
        <v>6</v>
      </c>
      <c r="H44" s="144"/>
      <c r="I44" s="5"/>
      <c r="J44" s="2">
        <f>G44</f>
        <v>6</v>
      </c>
    </row>
    <row r="45" spans="1:10" s="3" customFormat="1" ht="13.5" x14ac:dyDescent="0.25">
      <c r="A45" s="89" t="s">
        <v>58</v>
      </c>
      <c r="B45" s="88" t="s">
        <v>88</v>
      </c>
      <c r="C45" s="90" t="s">
        <v>32</v>
      </c>
      <c r="D45" s="91" t="s">
        <v>69</v>
      </c>
      <c r="E45" s="88"/>
      <c r="F45" s="88">
        <v>2.5</v>
      </c>
      <c r="G45" s="89"/>
      <c r="H45" s="173"/>
      <c r="I45" s="90" t="s">
        <v>70</v>
      </c>
      <c r="J45" s="2"/>
    </row>
    <row r="46" spans="1:10" x14ac:dyDescent="0.25">
      <c r="A46" s="2" t="s">
        <v>22</v>
      </c>
      <c r="B46" s="8" t="s">
        <v>92</v>
      </c>
      <c r="C46" s="3" t="s">
        <v>46</v>
      </c>
      <c r="D46" s="9" t="s">
        <v>25</v>
      </c>
      <c r="E46" s="2" t="s">
        <v>4</v>
      </c>
      <c r="F46" s="16">
        <v>4</v>
      </c>
      <c r="G46" s="125"/>
      <c r="H46" s="158"/>
      <c r="I46" s="5"/>
      <c r="J46" s="16"/>
    </row>
    <row r="47" spans="1:10" x14ac:dyDescent="0.25">
      <c r="A47" s="2" t="s">
        <v>17</v>
      </c>
      <c r="B47" s="5" t="s">
        <v>93</v>
      </c>
      <c r="C47" s="6" t="s">
        <v>46</v>
      </c>
      <c r="D47" s="2" t="s">
        <v>47</v>
      </c>
      <c r="E47" s="2" t="s">
        <v>4</v>
      </c>
      <c r="F47" s="16">
        <v>4</v>
      </c>
      <c r="G47" s="125"/>
      <c r="H47" s="163"/>
      <c r="I47" s="5"/>
      <c r="J47" s="16"/>
    </row>
    <row r="48" spans="1:10" x14ac:dyDescent="0.25">
      <c r="A48" s="34" t="s">
        <v>0</v>
      </c>
      <c r="B48" s="35" t="s">
        <v>94</v>
      </c>
      <c r="C48" s="36" t="s">
        <v>95</v>
      </c>
      <c r="D48" s="37" t="s">
        <v>10</v>
      </c>
      <c r="E48" s="38"/>
      <c r="F48" s="38">
        <v>3</v>
      </c>
      <c r="G48" s="126"/>
      <c r="H48" s="159"/>
      <c r="I48" s="35" t="s">
        <v>11</v>
      </c>
      <c r="J48" s="16"/>
    </row>
    <row r="49" spans="1:10" x14ac:dyDescent="0.25">
      <c r="A49" s="22" t="s">
        <v>0</v>
      </c>
      <c r="B49" s="23" t="s">
        <v>96</v>
      </c>
      <c r="C49" s="23" t="s">
        <v>60</v>
      </c>
      <c r="D49" s="24" t="s">
        <v>97</v>
      </c>
      <c r="E49" s="30"/>
      <c r="F49" s="30">
        <v>5</v>
      </c>
      <c r="G49" s="127">
        <f>F49+F50</f>
        <v>9</v>
      </c>
      <c r="H49" s="176">
        <f>G49</f>
        <v>9</v>
      </c>
      <c r="I49" s="140" t="s">
        <v>98</v>
      </c>
      <c r="J49" s="16"/>
    </row>
    <row r="50" spans="1:10" x14ac:dyDescent="0.25">
      <c r="A50" s="25" t="s">
        <v>0</v>
      </c>
      <c r="B50" s="26" t="s">
        <v>96</v>
      </c>
      <c r="C50" s="26" t="s">
        <v>99</v>
      </c>
      <c r="D50" s="27" t="s">
        <v>100</v>
      </c>
      <c r="E50" s="30"/>
      <c r="F50" s="30">
        <v>4</v>
      </c>
      <c r="G50" s="127"/>
      <c r="H50" s="160"/>
      <c r="I50" s="140" t="s">
        <v>98</v>
      </c>
      <c r="J50" s="16"/>
    </row>
    <row r="51" spans="1:10" x14ac:dyDescent="0.25">
      <c r="A51" s="103" t="s">
        <v>0</v>
      </c>
      <c r="B51" s="104" t="s">
        <v>96</v>
      </c>
      <c r="C51" s="104" t="s">
        <v>54</v>
      </c>
      <c r="D51" s="105" t="s">
        <v>85</v>
      </c>
      <c r="E51" s="106"/>
      <c r="F51" s="106">
        <v>6</v>
      </c>
      <c r="G51" s="128">
        <f>F51</f>
        <v>6</v>
      </c>
      <c r="H51" s="177">
        <f>G51</f>
        <v>6</v>
      </c>
      <c r="I51" s="141" t="s">
        <v>101</v>
      </c>
      <c r="J51" s="16"/>
    </row>
    <row r="52" spans="1:10" x14ac:dyDescent="0.25">
      <c r="A52" s="49" t="s">
        <v>0</v>
      </c>
      <c r="B52" s="48" t="s">
        <v>96</v>
      </c>
      <c r="C52" s="48" t="s">
        <v>28</v>
      </c>
      <c r="D52" s="50" t="s">
        <v>102</v>
      </c>
      <c r="E52" s="51"/>
      <c r="F52" s="51">
        <v>5</v>
      </c>
      <c r="G52" s="129"/>
      <c r="H52" s="161"/>
      <c r="I52" s="135" t="s">
        <v>103</v>
      </c>
      <c r="J52" s="16"/>
    </row>
    <row r="53" spans="1:10" x14ac:dyDescent="0.25">
      <c r="A53" s="52" t="s">
        <v>58</v>
      </c>
      <c r="B53" s="53" t="s">
        <v>104</v>
      </c>
      <c r="C53" s="53" t="s">
        <v>95</v>
      </c>
      <c r="D53" s="54" t="s">
        <v>102</v>
      </c>
      <c r="E53" s="51"/>
      <c r="F53" s="51">
        <v>3</v>
      </c>
      <c r="G53" s="129"/>
      <c r="H53" s="178"/>
      <c r="I53" s="135" t="s">
        <v>103</v>
      </c>
      <c r="J53" s="16"/>
    </row>
    <row r="54" spans="1:10" x14ac:dyDescent="0.25">
      <c r="A54" s="49" t="s">
        <v>58</v>
      </c>
      <c r="B54" s="48" t="s">
        <v>104</v>
      </c>
      <c r="C54" s="48" t="s">
        <v>95</v>
      </c>
      <c r="D54" s="50" t="s">
        <v>29</v>
      </c>
      <c r="E54" s="51"/>
      <c r="F54" s="51">
        <v>3</v>
      </c>
      <c r="G54" s="129"/>
      <c r="H54" s="161"/>
      <c r="I54" s="135" t="s">
        <v>103</v>
      </c>
      <c r="J54" s="16"/>
    </row>
    <row r="55" spans="1:10" x14ac:dyDescent="0.25">
      <c r="A55" s="15" t="s">
        <v>58</v>
      </c>
      <c r="B55" s="14" t="s">
        <v>104</v>
      </c>
      <c r="C55" s="14" t="s">
        <v>66</v>
      </c>
      <c r="D55" s="13" t="s">
        <v>83</v>
      </c>
      <c r="E55" s="2" t="s">
        <v>4</v>
      </c>
      <c r="F55" s="16">
        <v>3</v>
      </c>
      <c r="G55" s="125"/>
      <c r="H55" s="163"/>
      <c r="I55" s="5"/>
      <c r="J55" s="16"/>
    </row>
    <row r="56" spans="1:10" x14ac:dyDescent="0.25">
      <c r="A56" s="67" t="s">
        <v>105</v>
      </c>
      <c r="B56" s="68" t="s">
        <v>106</v>
      </c>
      <c r="C56" s="68" t="s">
        <v>107</v>
      </c>
      <c r="D56" s="70" t="s">
        <v>80</v>
      </c>
      <c r="E56" s="68"/>
      <c r="F56" s="71">
        <v>4</v>
      </c>
      <c r="G56" s="130"/>
      <c r="H56" s="162"/>
      <c r="I56" s="69" t="s">
        <v>80</v>
      </c>
      <c r="J56" s="16"/>
    </row>
    <row r="57" spans="1:10" x14ac:dyDescent="0.25">
      <c r="A57" s="39" t="s">
        <v>0</v>
      </c>
      <c r="B57" s="39" t="s">
        <v>106</v>
      </c>
      <c r="C57" s="39" t="s">
        <v>107</v>
      </c>
      <c r="D57" s="39" t="s">
        <v>53</v>
      </c>
      <c r="E57" s="39"/>
      <c r="F57" s="47">
        <v>4</v>
      </c>
      <c r="G57" s="131"/>
      <c r="H57" s="180"/>
      <c r="I57" s="44" t="s">
        <v>53</v>
      </c>
      <c r="J57" s="16"/>
    </row>
    <row r="58" spans="1:10" ht="15.75" thickBot="1" x14ac:dyDescent="0.3">
      <c r="F58">
        <f>SUM(F3:F57)</f>
        <v>232.5</v>
      </c>
      <c r="G58">
        <f>SUM(G3:G57)</f>
        <v>232.5</v>
      </c>
      <c r="H58" s="179">
        <f t="shared" ref="H58:J58" si="0">SUM(H3:H57)</f>
        <v>168.5</v>
      </c>
      <c r="I58">
        <f>H58+J58</f>
        <v>232.5</v>
      </c>
      <c r="J58">
        <f t="shared" si="0"/>
        <v>64</v>
      </c>
    </row>
  </sheetData>
  <sortState xmlns:xlrd2="http://schemas.microsoft.com/office/spreadsheetml/2017/richdata2" ref="L4:N23">
    <sortCondition ref="L4:L23"/>
  </sortState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E0105-C911-459A-AED3-F4FF3EBCA6A7}">
  <dimension ref="A1:O54"/>
  <sheetViews>
    <sheetView topLeftCell="A9" workbookViewId="0">
      <selection activeCell="L2" sqref="L2:O34"/>
    </sheetView>
  </sheetViews>
  <sheetFormatPr baseColWidth="10" defaultRowHeight="15" x14ac:dyDescent="0.25"/>
  <cols>
    <col min="1" max="1" width="3.28515625" customWidth="1"/>
    <col min="2" max="2" width="6.140625" customWidth="1"/>
    <col min="3" max="3" width="12.28515625" customWidth="1"/>
    <col min="4" max="4" width="15.7109375" customWidth="1"/>
    <col min="5" max="5" width="12.140625" customWidth="1"/>
    <col min="8" max="8" width="9.42578125" style="164" customWidth="1"/>
    <col min="9" max="9" width="20.28515625" style="3" customWidth="1"/>
    <col min="12" max="12" width="17.7109375" customWidth="1"/>
    <col min="13" max="13" width="26.140625" customWidth="1"/>
  </cols>
  <sheetData>
    <row r="1" spans="1:15" s="1" customFormat="1" ht="18" thickBot="1" x14ac:dyDescent="0.35">
      <c r="A1" s="1" t="s">
        <v>108</v>
      </c>
      <c r="I1" s="17"/>
    </row>
    <row r="2" spans="1:15" s="181" customFormat="1" ht="17.25" x14ac:dyDescent="0.3">
      <c r="F2" s="1"/>
      <c r="G2" s="1"/>
      <c r="H2" s="142" t="s">
        <v>116</v>
      </c>
      <c r="I2" s="17"/>
      <c r="J2" s="1"/>
      <c r="L2" s="107" t="s">
        <v>215</v>
      </c>
      <c r="M2" s="108"/>
      <c r="N2" s="109"/>
      <c r="O2" s="1"/>
    </row>
    <row r="3" spans="1:15" s="17" customFormat="1" ht="15.75" x14ac:dyDescent="0.25">
      <c r="A3" s="182" t="s">
        <v>89</v>
      </c>
      <c r="B3" s="183"/>
      <c r="C3" s="184" t="s">
        <v>90</v>
      </c>
      <c r="D3" s="185" t="s">
        <v>91</v>
      </c>
      <c r="E3" s="185" t="s">
        <v>4</v>
      </c>
      <c r="F3" s="185" t="s">
        <v>112</v>
      </c>
      <c r="G3" s="185" t="s">
        <v>113</v>
      </c>
      <c r="H3" s="185" t="s">
        <v>114</v>
      </c>
      <c r="I3" s="185" t="s">
        <v>110</v>
      </c>
      <c r="J3" s="185" t="s">
        <v>115</v>
      </c>
      <c r="L3" s="110"/>
      <c r="M3" s="181"/>
      <c r="N3" s="111"/>
    </row>
    <row r="4" spans="1:15" s="3" customFormat="1" ht="13.5" x14ac:dyDescent="0.25">
      <c r="A4" s="190" t="s">
        <v>0</v>
      </c>
      <c r="B4" s="191" t="s">
        <v>159</v>
      </c>
      <c r="C4" s="192" t="s">
        <v>107</v>
      </c>
      <c r="D4" s="193" t="s">
        <v>80</v>
      </c>
      <c r="E4" s="194"/>
      <c r="F4" s="68">
        <v>4</v>
      </c>
      <c r="G4" s="67">
        <f>F4</f>
        <v>4</v>
      </c>
      <c r="H4" s="157">
        <v>4</v>
      </c>
      <c r="I4" s="69" t="s">
        <v>80</v>
      </c>
      <c r="J4" s="2"/>
      <c r="L4" s="112" t="s">
        <v>91</v>
      </c>
      <c r="M4" s="17" t="s">
        <v>117</v>
      </c>
      <c r="N4" s="113" t="s">
        <v>112</v>
      </c>
    </row>
    <row r="5" spans="1:15" s="3" customFormat="1" ht="13.5" x14ac:dyDescent="0.25">
      <c r="A5" s="43" t="s">
        <v>0</v>
      </c>
      <c r="B5" s="44" t="s">
        <v>159</v>
      </c>
      <c r="C5" s="45" t="s">
        <v>107</v>
      </c>
      <c r="D5" s="39" t="s">
        <v>53</v>
      </c>
      <c r="E5" s="39"/>
      <c r="F5" s="39">
        <v>4</v>
      </c>
      <c r="G5" s="43">
        <f>F5</f>
        <v>4</v>
      </c>
      <c r="H5" s="172">
        <f>G5</f>
        <v>4</v>
      </c>
      <c r="I5" s="41" t="s">
        <v>53</v>
      </c>
      <c r="J5" s="2"/>
      <c r="L5" s="114" t="s">
        <v>137</v>
      </c>
      <c r="M5" s="3" t="s">
        <v>138</v>
      </c>
      <c r="N5" s="115">
        <v>0</v>
      </c>
    </row>
    <row r="6" spans="1:15" s="3" customFormat="1" x14ac:dyDescent="0.25">
      <c r="A6" s="195" t="s">
        <v>160</v>
      </c>
      <c r="B6" s="196" t="s">
        <v>161</v>
      </c>
      <c r="C6" s="197" t="s">
        <v>162</v>
      </c>
      <c r="D6" s="198" t="s">
        <v>39</v>
      </c>
      <c r="E6" s="198"/>
      <c r="F6" s="199">
        <v>5</v>
      </c>
      <c r="G6" s="200">
        <f>F6+F8+F12+F25+F32+F33+F43</f>
        <v>26.5</v>
      </c>
      <c r="H6" s="201">
        <v>12</v>
      </c>
      <c r="I6" s="197" t="s">
        <v>55</v>
      </c>
      <c r="J6" s="2">
        <f>G6-H6</f>
        <v>14.5</v>
      </c>
      <c r="L6" s="300" t="s">
        <v>221</v>
      </c>
      <c r="M6" s="298" t="s">
        <v>221</v>
      </c>
      <c r="N6" s="301">
        <v>4</v>
      </c>
      <c r="O6"/>
    </row>
    <row r="7" spans="1:15" s="3" customFormat="1" ht="13.5" x14ac:dyDescent="0.25">
      <c r="A7" s="121" t="s">
        <v>160</v>
      </c>
      <c r="B7" s="134" t="s">
        <v>161</v>
      </c>
      <c r="C7" s="209" t="s">
        <v>162</v>
      </c>
      <c r="D7" s="28" t="s">
        <v>163</v>
      </c>
      <c r="E7" s="28"/>
      <c r="F7" s="28">
        <v>5</v>
      </c>
      <c r="G7" s="121">
        <f>F7+F18+F37</f>
        <v>13.5</v>
      </c>
      <c r="H7" s="210">
        <v>12</v>
      </c>
      <c r="I7" s="211" t="s">
        <v>202</v>
      </c>
      <c r="J7" s="2">
        <f>G7-H7</f>
        <v>1.5</v>
      </c>
      <c r="L7" s="114" t="s">
        <v>151</v>
      </c>
      <c r="M7" s="3" t="s">
        <v>152</v>
      </c>
      <c r="N7" s="115">
        <v>4</v>
      </c>
    </row>
    <row r="8" spans="1:15" s="3" customFormat="1" ht="13.5" x14ac:dyDescent="0.25">
      <c r="A8" s="200" t="s">
        <v>0</v>
      </c>
      <c r="B8" s="202" t="s">
        <v>164</v>
      </c>
      <c r="C8" s="203" t="s">
        <v>7</v>
      </c>
      <c r="D8" s="199" t="s">
        <v>39</v>
      </c>
      <c r="E8" s="199"/>
      <c r="F8" s="199">
        <v>5</v>
      </c>
      <c r="G8" s="200"/>
      <c r="H8" s="201">
        <f>G8</f>
        <v>0</v>
      </c>
      <c r="I8" s="197"/>
      <c r="J8" s="2"/>
      <c r="L8" s="114" t="s">
        <v>118</v>
      </c>
      <c r="M8" s="3" t="s">
        <v>119</v>
      </c>
      <c r="N8" s="115">
        <v>4</v>
      </c>
    </row>
    <row r="9" spans="1:15" s="3" customFormat="1" ht="13.5" x14ac:dyDescent="0.25">
      <c r="A9" s="213" t="s">
        <v>0</v>
      </c>
      <c r="B9" s="214" t="s">
        <v>164</v>
      </c>
      <c r="C9" s="122" t="s">
        <v>14</v>
      </c>
      <c r="D9" s="31" t="s">
        <v>20</v>
      </c>
      <c r="E9" s="31"/>
      <c r="F9" s="31">
        <v>4.5</v>
      </c>
      <c r="G9" s="122">
        <f>F9+F41</f>
        <v>7.5</v>
      </c>
      <c r="H9" s="167">
        <f>G9</f>
        <v>7.5</v>
      </c>
      <c r="I9" s="215" t="s">
        <v>21</v>
      </c>
      <c r="J9" s="2"/>
      <c r="L9" s="114" t="s">
        <v>120</v>
      </c>
      <c r="M9" s="3" t="s">
        <v>136</v>
      </c>
      <c r="N9" s="115">
        <v>5</v>
      </c>
      <c r="O9" s="3" t="s">
        <v>158</v>
      </c>
    </row>
    <row r="10" spans="1:15" s="3" customFormat="1" ht="13.5" x14ac:dyDescent="0.25">
      <c r="A10" s="219" t="s">
        <v>0</v>
      </c>
      <c r="B10" s="20" t="s">
        <v>164</v>
      </c>
      <c r="C10" s="119" t="s">
        <v>14</v>
      </c>
      <c r="D10" s="21" t="s">
        <v>8</v>
      </c>
      <c r="E10" s="21"/>
      <c r="F10" s="18">
        <v>4.5</v>
      </c>
      <c r="G10" s="119">
        <f>F10+F42+F48</f>
        <v>11</v>
      </c>
      <c r="H10" s="145">
        <f>G10</f>
        <v>11</v>
      </c>
      <c r="I10" s="19" t="s">
        <v>9</v>
      </c>
      <c r="J10" s="2"/>
      <c r="L10" s="114" t="s">
        <v>139</v>
      </c>
      <c r="M10" s="3" t="s">
        <v>140</v>
      </c>
      <c r="N10" s="115">
        <v>7</v>
      </c>
    </row>
    <row r="11" spans="1:15" s="3" customFormat="1" ht="13.5" x14ac:dyDescent="0.25">
      <c r="A11" s="223" t="s">
        <v>58</v>
      </c>
      <c r="B11" s="224" t="s">
        <v>165</v>
      </c>
      <c r="C11" s="56" t="s">
        <v>166</v>
      </c>
      <c r="D11" s="55" t="s">
        <v>37</v>
      </c>
      <c r="E11" s="55"/>
      <c r="F11" s="55">
        <v>4</v>
      </c>
      <c r="G11" s="56">
        <f>F11+F51</f>
        <v>7</v>
      </c>
      <c r="H11" s="169">
        <v>7</v>
      </c>
      <c r="I11" s="225" t="s">
        <v>203</v>
      </c>
      <c r="J11" s="2"/>
      <c r="L11" s="114" t="s">
        <v>121</v>
      </c>
      <c r="M11" s="3" t="s">
        <v>122</v>
      </c>
      <c r="N11" s="115">
        <v>0</v>
      </c>
    </row>
    <row r="12" spans="1:15" s="3" customFormat="1" ht="13.5" x14ac:dyDescent="0.25">
      <c r="A12" s="204" t="s">
        <v>58</v>
      </c>
      <c r="B12" s="205" t="s">
        <v>165</v>
      </c>
      <c r="C12" s="197" t="s">
        <v>166</v>
      </c>
      <c r="D12" s="198" t="s">
        <v>39</v>
      </c>
      <c r="E12" s="198"/>
      <c r="F12" s="199">
        <v>4</v>
      </c>
      <c r="G12" s="200"/>
      <c r="H12" s="201"/>
      <c r="I12" s="197"/>
      <c r="J12" s="2"/>
      <c r="L12" s="114" t="s">
        <v>216</v>
      </c>
      <c r="M12" s="3" t="s">
        <v>224</v>
      </c>
      <c r="N12" s="115">
        <v>13.5</v>
      </c>
      <c r="O12" s="3" t="s">
        <v>158</v>
      </c>
    </row>
    <row r="13" spans="1:15" s="3" customFormat="1" ht="13.5" x14ac:dyDescent="0.25">
      <c r="A13" s="229" t="s">
        <v>58</v>
      </c>
      <c r="B13" s="230" t="s">
        <v>165</v>
      </c>
      <c r="C13" s="231" t="s">
        <v>167</v>
      </c>
      <c r="D13" s="232" t="s">
        <v>33</v>
      </c>
      <c r="E13" s="232"/>
      <c r="F13" s="232">
        <v>1.5</v>
      </c>
      <c r="G13" s="229">
        <f>F13+F35</f>
        <v>5.5</v>
      </c>
      <c r="H13" s="233">
        <f>G13</f>
        <v>5.5</v>
      </c>
      <c r="I13" s="234" t="s">
        <v>34</v>
      </c>
      <c r="J13" s="2"/>
      <c r="L13" s="114" t="s">
        <v>141</v>
      </c>
      <c r="M13" s="3" t="s">
        <v>142</v>
      </c>
      <c r="N13" s="115">
        <v>26.5</v>
      </c>
      <c r="O13" s="3" t="s">
        <v>158</v>
      </c>
    </row>
    <row r="14" spans="1:15" s="3" customFormat="1" ht="13.5" x14ac:dyDescent="0.25">
      <c r="A14" s="15" t="s">
        <v>22</v>
      </c>
      <c r="B14" s="10" t="s">
        <v>168</v>
      </c>
      <c r="C14" s="11" t="s">
        <v>46</v>
      </c>
      <c r="D14" s="2" t="s">
        <v>25</v>
      </c>
      <c r="E14" s="2"/>
      <c r="F14" s="2">
        <v>4</v>
      </c>
      <c r="G14" s="11">
        <f>F14</f>
        <v>4</v>
      </c>
      <c r="H14" s="144">
        <v>0</v>
      </c>
      <c r="I14" s="3" t="s">
        <v>4</v>
      </c>
      <c r="J14" s="2">
        <v>4</v>
      </c>
      <c r="L14" s="114" t="s">
        <v>123</v>
      </c>
      <c r="M14" s="3" t="s">
        <v>124</v>
      </c>
      <c r="N14" s="115">
        <v>15</v>
      </c>
      <c r="O14" s="3" t="s">
        <v>158</v>
      </c>
    </row>
    <row r="15" spans="1:15" s="3" customFormat="1" x14ac:dyDescent="0.25">
      <c r="A15" s="11" t="s">
        <v>0</v>
      </c>
      <c r="B15" s="5" t="s">
        <v>169</v>
      </c>
      <c r="C15" s="5" t="s">
        <v>27</v>
      </c>
      <c r="D15" s="9" t="s">
        <v>83</v>
      </c>
      <c r="E15" s="9"/>
      <c r="F15" s="2">
        <v>5</v>
      </c>
      <c r="G15" s="11">
        <f>F15+F23</f>
        <v>10</v>
      </c>
      <c r="H15" s="143">
        <v>0</v>
      </c>
      <c r="I15" s="3" t="s">
        <v>4</v>
      </c>
      <c r="J15" s="2">
        <v>10</v>
      </c>
      <c r="L15" s="300" t="s">
        <v>220</v>
      </c>
      <c r="M15" s="298" t="s">
        <v>228</v>
      </c>
      <c r="N15" s="301">
        <v>5</v>
      </c>
      <c r="O15"/>
    </row>
    <row r="16" spans="1:15" s="3" customFormat="1" x14ac:dyDescent="0.25">
      <c r="A16" s="15" t="s">
        <v>0</v>
      </c>
      <c r="B16" s="10" t="s">
        <v>169</v>
      </c>
      <c r="C16" s="3" t="s">
        <v>27</v>
      </c>
      <c r="D16" s="2" t="s">
        <v>3</v>
      </c>
      <c r="E16" s="2"/>
      <c r="F16" s="2">
        <v>5</v>
      </c>
      <c r="G16" s="11">
        <f>F16+F20</f>
        <v>11.5</v>
      </c>
      <c r="H16" s="144">
        <v>0</v>
      </c>
      <c r="I16" s="3" t="s">
        <v>4</v>
      </c>
      <c r="J16" s="2">
        <v>11.5</v>
      </c>
      <c r="L16" s="300" t="s">
        <v>230</v>
      </c>
      <c r="M16" s="298" t="s">
        <v>231</v>
      </c>
      <c r="N16" s="301">
        <v>4</v>
      </c>
      <c r="O16"/>
    </row>
    <row r="17" spans="1:15" s="3" customFormat="1" ht="13.5" x14ac:dyDescent="0.25">
      <c r="A17" s="239" t="s">
        <v>0</v>
      </c>
      <c r="B17" s="240" t="s">
        <v>169</v>
      </c>
      <c r="C17" s="241" t="s">
        <v>28</v>
      </c>
      <c r="D17" s="242" t="s">
        <v>85</v>
      </c>
      <c r="E17" s="242"/>
      <c r="F17" s="242">
        <v>5</v>
      </c>
      <c r="G17" s="239">
        <f>F17</f>
        <v>5</v>
      </c>
      <c r="H17" s="243">
        <f>G17</f>
        <v>5</v>
      </c>
      <c r="I17" s="244" t="s">
        <v>86</v>
      </c>
      <c r="J17" s="2"/>
      <c r="L17" s="114" t="s">
        <v>145</v>
      </c>
      <c r="M17" s="3" t="s">
        <v>146</v>
      </c>
      <c r="N17" s="115">
        <v>6</v>
      </c>
    </row>
    <row r="18" spans="1:15" s="3" customFormat="1" ht="13.5" x14ac:dyDescent="0.25">
      <c r="A18" s="121" t="s">
        <v>0</v>
      </c>
      <c r="B18" s="134" t="s">
        <v>169</v>
      </c>
      <c r="C18" s="209" t="s">
        <v>28</v>
      </c>
      <c r="D18" s="212" t="s">
        <v>163</v>
      </c>
      <c r="E18" s="212"/>
      <c r="F18" s="28">
        <v>5</v>
      </c>
      <c r="G18" s="121"/>
      <c r="H18" s="147"/>
      <c r="I18" s="211"/>
      <c r="J18" s="2">
        <f>G18</f>
        <v>0</v>
      </c>
      <c r="L18" s="114" t="s">
        <v>143</v>
      </c>
      <c r="M18" s="3" t="s">
        <v>144</v>
      </c>
      <c r="N18" s="115">
        <v>0</v>
      </c>
    </row>
    <row r="19" spans="1:15" s="3" customFormat="1" ht="13.5" x14ac:dyDescent="0.25">
      <c r="A19" s="75" t="s">
        <v>0</v>
      </c>
      <c r="B19" s="73" t="s">
        <v>170</v>
      </c>
      <c r="C19" s="74" t="s">
        <v>60</v>
      </c>
      <c r="D19" s="72" t="s">
        <v>171</v>
      </c>
      <c r="E19" s="72"/>
      <c r="F19" s="72">
        <v>5</v>
      </c>
      <c r="G19" s="75">
        <f>F19+F36</f>
        <v>9</v>
      </c>
      <c r="H19" s="171">
        <f>G19</f>
        <v>9</v>
      </c>
      <c r="I19" s="76" t="s">
        <v>204</v>
      </c>
      <c r="J19" s="2"/>
      <c r="L19" s="114" t="s">
        <v>125</v>
      </c>
      <c r="M19" s="3" t="s">
        <v>125</v>
      </c>
      <c r="N19" s="115">
        <v>4</v>
      </c>
    </row>
    <row r="20" spans="1:15" s="3" customFormat="1" ht="13.5" x14ac:dyDescent="0.25">
      <c r="A20" s="11" t="s">
        <v>58</v>
      </c>
      <c r="B20" s="5" t="s">
        <v>172</v>
      </c>
      <c r="C20" s="186" t="s">
        <v>173</v>
      </c>
      <c r="D20" s="2" t="s">
        <v>3</v>
      </c>
      <c r="E20" s="2"/>
      <c r="F20" s="2">
        <v>6.5</v>
      </c>
      <c r="G20" s="11"/>
      <c r="H20" s="144">
        <v>0</v>
      </c>
      <c r="J20" s="2"/>
      <c r="L20" s="114" t="s">
        <v>126</v>
      </c>
      <c r="M20" s="3" t="s">
        <v>127</v>
      </c>
      <c r="N20" s="115">
        <v>5.5</v>
      </c>
    </row>
    <row r="21" spans="1:15" s="3" customFormat="1" ht="13.5" x14ac:dyDescent="0.25">
      <c r="A21" s="11" t="s">
        <v>58</v>
      </c>
      <c r="B21" s="5" t="s">
        <v>172</v>
      </c>
      <c r="C21" s="6" t="s">
        <v>173</v>
      </c>
      <c r="D21" s="2" t="s">
        <v>42</v>
      </c>
      <c r="E21" s="2"/>
      <c r="F21" s="2">
        <v>6.5</v>
      </c>
      <c r="G21" s="11">
        <f>F21</f>
        <v>6.5</v>
      </c>
      <c r="H21" s="143">
        <v>0</v>
      </c>
      <c r="I21" s="3" t="s">
        <v>4</v>
      </c>
      <c r="J21" s="2">
        <f>G21</f>
        <v>6.5</v>
      </c>
      <c r="L21" s="114" t="s">
        <v>128</v>
      </c>
      <c r="M21" s="3" t="s">
        <v>129</v>
      </c>
      <c r="N21" s="115">
        <v>11</v>
      </c>
    </row>
    <row r="22" spans="1:15" x14ac:dyDescent="0.25">
      <c r="A22" s="37" t="s">
        <v>0</v>
      </c>
      <c r="B22" s="35" t="s">
        <v>174</v>
      </c>
      <c r="C22" s="35" t="s">
        <v>27</v>
      </c>
      <c r="D22" s="36" t="s">
        <v>10</v>
      </c>
      <c r="E22" s="247"/>
      <c r="F22" s="34">
        <v>5</v>
      </c>
      <c r="G22" s="37">
        <f>F22</f>
        <v>5</v>
      </c>
      <c r="H22" s="146">
        <f>G22</f>
        <v>5</v>
      </c>
      <c r="I22" s="248" t="s">
        <v>205</v>
      </c>
      <c r="J22" s="2"/>
      <c r="L22" s="114" t="s">
        <v>153</v>
      </c>
      <c r="M22" s="3" t="s">
        <v>154</v>
      </c>
      <c r="N22" s="115">
        <v>0</v>
      </c>
      <c r="O22" s="3"/>
    </row>
    <row r="23" spans="1:15" x14ac:dyDescent="0.25">
      <c r="A23" s="11" t="s">
        <v>0</v>
      </c>
      <c r="B23" s="5" t="s">
        <v>174</v>
      </c>
      <c r="C23" s="8" t="s">
        <v>28</v>
      </c>
      <c r="D23" s="3" t="s">
        <v>83</v>
      </c>
      <c r="E23" s="2"/>
      <c r="F23" s="2">
        <v>5</v>
      </c>
      <c r="G23" s="11"/>
      <c r="H23" s="144">
        <f>G23</f>
        <v>0</v>
      </c>
      <c r="J23" s="2"/>
      <c r="L23" s="300" t="s">
        <v>219</v>
      </c>
      <c r="M23" s="298" t="s">
        <v>227</v>
      </c>
      <c r="N23" s="301">
        <v>8</v>
      </c>
    </row>
    <row r="24" spans="1:15" x14ac:dyDescent="0.25">
      <c r="A24" s="12" t="s">
        <v>0</v>
      </c>
      <c r="B24" s="8" t="s">
        <v>174</v>
      </c>
      <c r="C24" s="5" t="s">
        <v>28</v>
      </c>
      <c r="D24" s="6" t="s">
        <v>175</v>
      </c>
      <c r="E24" s="9"/>
      <c r="F24" s="2">
        <v>5</v>
      </c>
      <c r="G24" s="11">
        <v>5</v>
      </c>
      <c r="H24" s="143">
        <v>0</v>
      </c>
      <c r="I24" s="3" t="s">
        <v>4</v>
      </c>
      <c r="J24" s="2">
        <v>5</v>
      </c>
      <c r="L24" s="300" t="s">
        <v>217</v>
      </c>
      <c r="M24" s="3" t="s">
        <v>225</v>
      </c>
      <c r="N24" s="301">
        <v>9</v>
      </c>
      <c r="O24" s="3"/>
    </row>
    <row r="25" spans="1:15" x14ac:dyDescent="0.25">
      <c r="A25" s="200" t="s">
        <v>58</v>
      </c>
      <c r="B25" s="202" t="s">
        <v>176</v>
      </c>
      <c r="C25" s="196" t="s">
        <v>177</v>
      </c>
      <c r="D25" s="197" t="s">
        <v>39</v>
      </c>
      <c r="E25" s="206"/>
      <c r="F25" s="199">
        <v>3</v>
      </c>
      <c r="G25" s="200"/>
      <c r="H25" s="201">
        <f>G25</f>
        <v>0</v>
      </c>
      <c r="I25" s="197"/>
      <c r="J25" s="2"/>
      <c r="L25" s="114" t="s">
        <v>130</v>
      </c>
      <c r="M25" s="3" t="s">
        <v>131</v>
      </c>
      <c r="N25" s="115">
        <v>7.5</v>
      </c>
      <c r="O25" s="3"/>
    </row>
    <row r="26" spans="1:15" x14ac:dyDescent="0.25">
      <c r="A26" s="249" t="s">
        <v>58</v>
      </c>
      <c r="B26" s="250" t="s">
        <v>176</v>
      </c>
      <c r="C26" s="250" t="s">
        <v>177</v>
      </c>
      <c r="D26" s="251" t="s">
        <v>178</v>
      </c>
      <c r="E26" s="252"/>
      <c r="F26" s="252">
        <v>3</v>
      </c>
      <c r="G26" s="249">
        <f>F26</f>
        <v>3</v>
      </c>
      <c r="H26" s="253">
        <v>3</v>
      </c>
      <c r="I26" s="254" t="s">
        <v>206</v>
      </c>
      <c r="J26" s="2"/>
      <c r="L26" s="114" t="s">
        <v>149</v>
      </c>
      <c r="M26" s="3" t="s">
        <v>150</v>
      </c>
      <c r="N26" s="115">
        <v>0</v>
      </c>
      <c r="O26" s="3"/>
    </row>
    <row r="27" spans="1:15" x14ac:dyDescent="0.25">
      <c r="A27" s="49" t="s">
        <v>22</v>
      </c>
      <c r="B27" s="135" t="s">
        <v>179</v>
      </c>
      <c r="C27" s="135" t="s">
        <v>46</v>
      </c>
      <c r="D27" s="50" t="s">
        <v>180</v>
      </c>
      <c r="E27" s="48"/>
      <c r="F27" s="48">
        <v>4</v>
      </c>
      <c r="G27" s="49">
        <f>F27+F28</f>
        <v>8</v>
      </c>
      <c r="H27" s="255">
        <v>8</v>
      </c>
      <c r="I27" s="54" t="s">
        <v>207</v>
      </c>
      <c r="J27" s="2"/>
      <c r="L27" s="114" t="s">
        <v>223</v>
      </c>
      <c r="M27" s="3" t="s">
        <v>223</v>
      </c>
      <c r="N27" s="115">
        <v>4</v>
      </c>
      <c r="O27" s="3"/>
    </row>
    <row r="28" spans="1:15" x14ac:dyDescent="0.25">
      <c r="A28" s="49" t="s">
        <v>22</v>
      </c>
      <c r="B28" s="135" t="s">
        <v>179</v>
      </c>
      <c r="C28" s="135" t="s">
        <v>46</v>
      </c>
      <c r="D28" s="50" t="s">
        <v>181</v>
      </c>
      <c r="E28" s="48"/>
      <c r="F28" s="48">
        <v>4</v>
      </c>
      <c r="G28" s="49"/>
      <c r="H28" s="168"/>
      <c r="I28" s="54"/>
      <c r="J28" s="2">
        <f>G28</f>
        <v>0</v>
      </c>
      <c r="L28" s="300" t="s">
        <v>222</v>
      </c>
      <c r="M28" s="298" t="s">
        <v>229</v>
      </c>
      <c r="N28" s="301">
        <v>3.5</v>
      </c>
    </row>
    <row r="29" spans="1:15" x14ac:dyDescent="0.25">
      <c r="A29" s="25" t="s">
        <v>0</v>
      </c>
      <c r="B29" s="256" t="s">
        <v>182</v>
      </c>
      <c r="C29" s="140" t="s">
        <v>183</v>
      </c>
      <c r="D29" s="24" t="s">
        <v>100</v>
      </c>
      <c r="E29" s="23"/>
      <c r="F29" s="23">
        <v>3.5</v>
      </c>
      <c r="G29" s="22">
        <f>F29+F30+F46+F47</f>
        <v>15</v>
      </c>
      <c r="H29" s="257">
        <v>12</v>
      </c>
      <c r="I29" s="27" t="s">
        <v>98</v>
      </c>
      <c r="J29" s="2">
        <v>3</v>
      </c>
      <c r="L29" s="114" t="s">
        <v>155</v>
      </c>
      <c r="M29" s="3" t="s">
        <v>156</v>
      </c>
      <c r="N29" s="115">
        <v>5</v>
      </c>
      <c r="O29" s="3"/>
    </row>
    <row r="30" spans="1:15" x14ac:dyDescent="0.25">
      <c r="A30" s="22" t="s">
        <v>0</v>
      </c>
      <c r="B30" s="140" t="s">
        <v>182</v>
      </c>
      <c r="C30" s="140" t="s">
        <v>183</v>
      </c>
      <c r="D30" s="189" t="s">
        <v>97</v>
      </c>
      <c r="E30" s="26"/>
      <c r="F30" s="23">
        <v>3.5</v>
      </c>
      <c r="G30" s="22"/>
      <c r="H30" s="258"/>
      <c r="I30" s="27"/>
      <c r="J30" s="2"/>
      <c r="L30" s="114" t="s">
        <v>155</v>
      </c>
      <c r="M30" s="3" t="s">
        <v>157</v>
      </c>
      <c r="N30" s="115">
        <v>0</v>
      </c>
      <c r="O30" s="3"/>
    </row>
    <row r="31" spans="1:15" x14ac:dyDescent="0.25">
      <c r="A31" s="259" t="s">
        <v>58</v>
      </c>
      <c r="B31" s="260" t="s">
        <v>184</v>
      </c>
      <c r="C31" s="260" t="s">
        <v>60</v>
      </c>
      <c r="D31" s="261" t="s">
        <v>185</v>
      </c>
      <c r="E31" s="262"/>
      <c r="F31" s="262">
        <v>5</v>
      </c>
      <c r="G31" s="259">
        <f>F31</f>
        <v>5</v>
      </c>
      <c r="H31" s="263">
        <f>G31</f>
        <v>5</v>
      </c>
      <c r="I31" s="264" t="s">
        <v>208</v>
      </c>
      <c r="J31" s="2"/>
      <c r="L31" s="300" t="s">
        <v>218</v>
      </c>
      <c r="M31" s="3" t="s">
        <v>226</v>
      </c>
      <c r="N31" s="301">
        <v>3</v>
      </c>
      <c r="O31" s="3"/>
    </row>
    <row r="32" spans="1:15" x14ac:dyDescent="0.25">
      <c r="A32" s="195" t="s">
        <v>0</v>
      </c>
      <c r="B32" s="196" t="s">
        <v>186</v>
      </c>
      <c r="C32" s="202" t="s">
        <v>65</v>
      </c>
      <c r="D32" s="203" t="s">
        <v>39</v>
      </c>
      <c r="E32" s="199"/>
      <c r="F32" s="199">
        <v>3.5</v>
      </c>
      <c r="G32" s="200"/>
      <c r="H32" s="207">
        <f>G32</f>
        <v>0</v>
      </c>
      <c r="I32" s="197"/>
      <c r="J32" s="2"/>
      <c r="L32" s="114" t="s">
        <v>147</v>
      </c>
      <c r="M32" s="3" t="s">
        <v>148</v>
      </c>
      <c r="N32" s="115">
        <v>0</v>
      </c>
      <c r="O32" s="3"/>
    </row>
    <row r="33" spans="1:14" x14ac:dyDescent="0.25">
      <c r="A33" s="200" t="s">
        <v>0</v>
      </c>
      <c r="B33" s="202" t="s">
        <v>186</v>
      </c>
      <c r="C33" s="196" t="s">
        <v>66</v>
      </c>
      <c r="D33" s="208" t="s">
        <v>39</v>
      </c>
      <c r="E33" s="198"/>
      <c r="F33" s="199">
        <v>3</v>
      </c>
      <c r="G33" s="200"/>
      <c r="H33" s="201"/>
      <c r="I33" s="197"/>
      <c r="J33" s="2"/>
      <c r="L33" s="112" t="s">
        <v>132</v>
      </c>
      <c r="M33" s="3"/>
      <c r="N33" s="115"/>
    </row>
    <row r="34" spans="1:14" ht="15.75" thickBot="1" x14ac:dyDescent="0.3">
      <c r="A34" s="120" t="s">
        <v>0</v>
      </c>
      <c r="B34" s="133" t="s">
        <v>186</v>
      </c>
      <c r="C34" s="133" t="s">
        <v>187</v>
      </c>
      <c r="D34" s="187" t="s">
        <v>12</v>
      </c>
      <c r="E34" s="46"/>
      <c r="F34" s="46">
        <v>4</v>
      </c>
      <c r="G34" s="120">
        <v>4</v>
      </c>
      <c r="H34" s="166">
        <f>G34</f>
        <v>4</v>
      </c>
      <c r="I34" s="187" t="s">
        <v>13</v>
      </c>
      <c r="J34" s="2"/>
      <c r="L34" s="116" t="s">
        <v>133</v>
      </c>
      <c r="M34" s="117"/>
      <c r="N34" s="118">
        <f>SUM(N5:N32)</f>
        <v>154.5</v>
      </c>
    </row>
    <row r="35" spans="1:14" x14ac:dyDescent="0.25">
      <c r="A35" s="235" t="s">
        <v>22</v>
      </c>
      <c r="B35" s="236" t="s">
        <v>188</v>
      </c>
      <c r="C35" s="230" t="s">
        <v>46</v>
      </c>
      <c r="D35" s="237" t="s">
        <v>33</v>
      </c>
      <c r="E35" s="232"/>
      <c r="F35" s="232">
        <v>4</v>
      </c>
      <c r="G35" s="229"/>
      <c r="H35" s="238">
        <f>G35</f>
        <v>0</v>
      </c>
      <c r="I35" s="234"/>
      <c r="J35" s="2"/>
    </row>
    <row r="36" spans="1:14" x14ac:dyDescent="0.25">
      <c r="A36" s="75" t="s">
        <v>0</v>
      </c>
      <c r="B36" s="73" t="s">
        <v>189</v>
      </c>
      <c r="C36" s="245" t="s">
        <v>166</v>
      </c>
      <c r="D36" s="76" t="s">
        <v>171</v>
      </c>
      <c r="E36" s="246"/>
      <c r="F36" s="72">
        <v>4</v>
      </c>
      <c r="G36" s="75"/>
      <c r="H36" s="171"/>
      <c r="I36" s="76"/>
      <c r="J36" s="2"/>
      <c r="M36" s="298"/>
    </row>
    <row r="37" spans="1:14" x14ac:dyDescent="0.25">
      <c r="A37" s="121" t="s">
        <v>0</v>
      </c>
      <c r="B37" s="134" t="s">
        <v>189</v>
      </c>
      <c r="C37" s="134" t="s">
        <v>43</v>
      </c>
      <c r="D37" s="209" t="s">
        <v>163</v>
      </c>
      <c r="E37" s="28"/>
      <c r="F37" s="28">
        <v>3.5</v>
      </c>
      <c r="G37" s="121"/>
      <c r="H37" s="147">
        <f>G37</f>
        <v>0</v>
      </c>
      <c r="I37" s="211"/>
      <c r="J37" s="2"/>
      <c r="M37" s="298"/>
    </row>
    <row r="38" spans="1:14" x14ac:dyDescent="0.25">
      <c r="A38" s="265" t="s">
        <v>22</v>
      </c>
      <c r="B38" s="266" t="s">
        <v>190</v>
      </c>
      <c r="C38" s="266" t="s">
        <v>46</v>
      </c>
      <c r="D38" s="267" t="s">
        <v>191</v>
      </c>
      <c r="E38" s="268"/>
      <c r="F38" s="269">
        <v>4</v>
      </c>
      <c r="G38" s="265">
        <f>F38</f>
        <v>4</v>
      </c>
      <c r="H38" s="270">
        <f>G38</f>
        <v>4</v>
      </c>
      <c r="I38" s="271" t="s">
        <v>191</v>
      </c>
      <c r="J38" s="2"/>
      <c r="M38" s="298"/>
    </row>
    <row r="39" spans="1:14" x14ac:dyDescent="0.25">
      <c r="A39" s="12" t="s">
        <v>22</v>
      </c>
      <c r="B39" s="8" t="s">
        <v>190</v>
      </c>
      <c r="C39" s="5" t="s">
        <v>46</v>
      </c>
      <c r="D39" s="6" t="s">
        <v>192</v>
      </c>
      <c r="E39" s="9"/>
      <c r="F39" s="2">
        <v>4</v>
      </c>
      <c r="G39" s="11">
        <f>F39</f>
        <v>4</v>
      </c>
      <c r="H39" s="144">
        <v>0</v>
      </c>
      <c r="I39" s="3" t="s">
        <v>4</v>
      </c>
      <c r="J39" s="2">
        <f>G39</f>
        <v>4</v>
      </c>
      <c r="M39" s="298"/>
    </row>
    <row r="40" spans="1:14" x14ac:dyDescent="0.25">
      <c r="A40" s="272" t="s">
        <v>0</v>
      </c>
      <c r="B40" s="273" t="s">
        <v>193</v>
      </c>
      <c r="C40" s="274" t="s">
        <v>65</v>
      </c>
      <c r="D40" s="275" t="s">
        <v>209</v>
      </c>
      <c r="E40" s="276"/>
      <c r="F40" s="276">
        <v>3.5</v>
      </c>
      <c r="G40" s="275">
        <f>F40</f>
        <v>3.5</v>
      </c>
      <c r="H40" s="277">
        <f>G40</f>
        <v>3.5</v>
      </c>
      <c r="I40" s="278" t="s">
        <v>210</v>
      </c>
      <c r="J40" s="2"/>
      <c r="M40" s="298"/>
    </row>
    <row r="41" spans="1:14" x14ac:dyDescent="0.25">
      <c r="A41" s="122" t="s">
        <v>0</v>
      </c>
      <c r="B41" s="32" t="s">
        <v>193</v>
      </c>
      <c r="C41" s="216" t="s">
        <v>194</v>
      </c>
      <c r="D41" s="217" t="s">
        <v>20</v>
      </c>
      <c r="E41" s="218"/>
      <c r="F41" s="31">
        <v>3</v>
      </c>
      <c r="G41" s="122"/>
      <c r="H41" s="148"/>
      <c r="I41" s="215"/>
      <c r="J41" s="2"/>
      <c r="M41" s="298"/>
    </row>
    <row r="42" spans="1:14" x14ac:dyDescent="0.25">
      <c r="A42" s="220" t="s">
        <v>0</v>
      </c>
      <c r="B42" s="221" t="s">
        <v>193</v>
      </c>
      <c r="C42" s="132" t="s">
        <v>194</v>
      </c>
      <c r="D42" s="222" t="s">
        <v>8</v>
      </c>
      <c r="E42" s="18"/>
      <c r="F42" s="18">
        <v>3</v>
      </c>
      <c r="G42" s="119"/>
      <c r="H42" s="165"/>
      <c r="I42" s="19"/>
      <c r="J42" s="2"/>
      <c r="M42" s="298"/>
    </row>
    <row r="43" spans="1:14" x14ac:dyDescent="0.25">
      <c r="A43" s="200" t="s">
        <v>58</v>
      </c>
      <c r="B43" s="202" t="s">
        <v>195</v>
      </c>
      <c r="C43" s="202" t="s">
        <v>196</v>
      </c>
      <c r="D43" s="203" t="s">
        <v>39</v>
      </c>
      <c r="E43" s="199"/>
      <c r="F43" s="199">
        <v>3</v>
      </c>
      <c r="G43" s="200"/>
      <c r="H43" s="201"/>
      <c r="I43" s="197"/>
      <c r="J43" s="2"/>
      <c r="M43" s="298"/>
    </row>
    <row r="44" spans="1:14" x14ac:dyDescent="0.25">
      <c r="A44" s="279" t="s">
        <v>58</v>
      </c>
      <c r="B44" s="280" t="s">
        <v>195</v>
      </c>
      <c r="C44" s="280" t="s">
        <v>197</v>
      </c>
      <c r="D44" s="281" t="s">
        <v>211</v>
      </c>
      <c r="E44" s="282"/>
      <c r="F44" s="282">
        <v>4</v>
      </c>
      <c r="G44" s="279">
        <f>F44</f>
        <v>4</v>
      </c>
      <c r="H44" s="283">
        <f>G44</f>
        <v>4</v>
      </c>
      <c r="I44" s="284" t="s">
        <v>212</v>
      </c>
      <c r="J44" s="2"/>
      <c r="M44" s="298"/>
    </row>
    <row r="45" spans="1:14" x14ac:dyDescent="0.25">
      <c r="A45" s="92" t="s">
        <v>22</v>
      </c>
      <c r="B45" s="93" t="s">
        <v>198</v>
      </c>
      <c r="C45" s="93" t="s">
        <v>46</v>
      </c>
      <c r="D45" s="94" t="s">
        <v>74</v>
      </c>
      <c r="E45" s="285"/>
      <c r="F45" s="93">
        <v>4</v>
      </c>
      <c r="G45" s="92">
        <f>F45</f>
        <v>4</v>
      </c>
      <c r="H45" s="286">
        <f>G45</f>
        <v>4</v>
      </c>
      <c r="I45" s="287" t="s">
        <v>75</v>
      </c>
      <c r="J45" s="2"/>
      <c r="M45" s="298"/>
    </row>
    <row r="46" spans="1:14" x14ac:dyDescent="0.25">
      <c r="A46" s="25" t="s">
        <v>0</v>
      </c>
      <c r="B46" s="26" t="s">
        <v>199</v>
      </c>
      <c r="C46" s="26" t="s">
        <v>166</v>
      </c>
      <c r="D46" s="27" t="s">
        <v>100</v>
      </c>
      <c r="E46" s="23"/>
      <c r="F46" s="23">
        <v>4</v>
      </c>
      <c r="G46" s="22"/>
      <c r="H46" s="258"/>
      <c r="I46" s="27"/>
      <c r="J46" s="2"/>
      <c r="M46" s="298"/>
    </row>
    <row r="47" spans="1:14" x14ac:dyDescent="0.25">
      <c r="A47" s="22" t="s">
        <v>0</v>
      </c>
      <c r="B47" s="23" t="s">
        <v>199</v>
      </c>
      <c r="C47" s="23" t="s">
        <v>166</v>
      </c>
      <c r="D47" s="24" t="s">
        <v>97</v>
      </c>
      <c r="E47" s="23"/>
      <c r="F47" s="30">
        <v>4</v>
      </c>
      <c r="G47" s="127"/>
      <c r="H47" s="160"/>
      <c r="I47" s="27"/>
      <c r="J47" s="16"/>
      <c r="M47" s="298"/>
    </row>
    <row r="48" spans="1:14" x14ac:dyDescent="0.25">
      <c r="A48" s="119" t="s">
        <v>0</v>
      </c>
      <c r="B48" s="18" t="s">
        <v>199</v>
      </c>
      <c r="C48" s="18" t="s">
        <v>43</v>
      </c>
      <c r="D48" s="222" t="s">
        <v>8</v>
      </c>
      <c r="E48" s="18"/>
      <c r="F48" s="288">
        <v>3.5</v>
      </c>
      <c r="G48" s="289"/>
      <c r="H48" s="290"/>
      <c r="I48" s="19"/>
      <c r="J48" s="16"/>
      <c r="M48" s="298"/>
    </row>
    <row r="49" spans="1:13" x14ac:dyDescent="0.25">
      <c r="A49" s="291" t="s">
        <v>58</v>
      </c>
      <c r="B49" s="292" t="s">
        <v>200</v>
      </c>
      <c r="C49" s="292" t="s">
        <v>95</v>
      </c>
      <c r="D49" s="188" t="s">
        <v>56</v>
      </c>
      <c r="E49" s="292"/>
      <c r="F49" s="293">
        <v>3</v>
      </c>
      <c r="G49" s="294">
        <f>F49+F50</f>
        <v>6</v>
      </c>
      <c r="H49" s="295">
        <f>G49</f>
        <v>6</v>
      </c>
      <c r="I49" s="296" t="s">
        <v>213</v>
      </c>
      <c r="J49" s="16"/>
      <c r="M49" s="298"/>
    </row>
    <row r="50" spans="1:13" x14ac:dyDescent="0.25">
      <c r="A50" s="291" t="s">
        <v>58</v>
      </c>
      <c r="B50" s="292" t="s">
        <v>200</v>
      </c>
      <c r="C50" s="292" t="s">
        <v>95</v>
      </c>
      <c r="D50" s="188" t="s">
        <v>201</v>
      </c>
      <c r="E50" s="292"/>
      <c r="F50" s="293">
        <v>3</v>
      </c>
      <c r="G50" s="294"/>
      <c r="H50" s="297">
        <f>G50</f>
        <v>0</v>
      </c>
      <c r="I50" s="296"/>
      <c r="J50" s="16"/>
      <c r="M50" s="298"/>
    </row>
    <row r="51" spans="1:13" x14ac:dyDescent="0.25">
      <c r="A51" s="56" t="s">
        <v>58</v>
      </c>
      <c r="B51" s="55" t="s">
        <v>200</v>
      </c>
      <c r="C51" s="55" t="s">
        <v>66</v>
      </c>
      <c r="D51" s="57" t="s">
        <v>37</v>
      </c>
      <c r="E51" s="55"/>
      <c r="F51" s="226">
        <v>3</v>
      </c>
      <c r="G51" s="227"/>
      <c r="H51" s="228"/>
      <c r="I51" s="225"/>
      <c r="J51" s="16"/>
      <c r="M51" s="298"/>
    </row>
    <row r="52" spans="1:13" ht="15.75" thickBot="1" x14ac:dyDescent="0.3">
      <c r="F52">
        <f>SUM(F4:F51)</f>
        <v>195.5</v>
      </c>
      <c r="G52">
        <f>SUM(G4:G51)</f>
        <v>195.5</v>
      </c>
      <c r="H52" s="179">
        <f>SUM(H4:H51)</f>
        <v>135.5</v>
      </c>
      <c r="I52" s="3">
        <f>H52+J52</f>
        <v>195.5</v>
      </c>
      <c r="J52">
        <f>SUM(J4:J51)</f>
        <v>60</v>
      </c>
      <c r="M52" s="299"/>
    </row>
    <row r="53" spans="1:13" x14ac:dyDescent="0.25">
      <c r="I53" s="3">
        <f>H52+J52</f>
        <v>195.5</v>
      </c>
      <c r="M53" s="299"/>
    </row>
    <row r="54" spans="1:13" x14ac:dyDescent="0.25">
      <c r="M54" s="299"/>
    </row>
  </sheetData>
  <sortState xmlns:xlrd2="http://schemas.microsoft.com/office/spreadsheetml/2017/richdata2" ref="L5:O32">
    <sortCondition ref="L5:L32"/>
  </sortState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2A9C-6E8C-493A-A090-6E0A251A3244}">
  <dimension ref="A1:K33"/>
  <sheetViews>
    <sheetView topLeftCell="A3" workbookViewId="0">
      <selection activeCell="A21" sqref="A21"/>
    </sheetView>
  </sheetViews>
  <sheetFormatPr baseColWidth="10" defaultRowHeight="15" x14ac:dyDescent="0.25"/>
  <cols>
    <col min="1" max="1" width="20.42578125" customWidth="1"/>
    <col min="2" max="2" width="22.42578125" customWidth="1"/>
    <col min="5" max="5" width="18.5703125" customWidth="1"/>
    <col min="6" max="6" width="21.28515625" customWidth="1"/>
    <col min="8" max="8" width="7.140625" customWidth="1"/>
    <col min="9" max="9" width="7.42578125" style="3" customWidth="1"/>
    <col min="10" max="10" width="11.42578125" style="3"/>
  </cols>
  <sheetData>
    <row r="1" spans="1:10" ht="17.25" x14ac:dyDescent="0.3">
      <c r="A1" s="302" t="s">
        <v>214</v>
      </c>
      <c r="B1" s="302"/>
      <c r="C1" s="302"/>
      <c r="D1" s="302"/>
      <c r="E1" s="302" t="s">
        <v>215</v>
      </c>
      <c r="F1" s="302"/>
      <c r="G1" s="302"/>
      <c r="H1" s="302"/>
    </row>
    <row r="2" spans="1:10" ht="15.75" x14ac:dyDescent="0.25">
      <c r="A2" s="303"/>
      <c r="B2" s="303"/>
      <c r="C2" s="303"/>
      <c r="D2" s="304"/>
      <c r="E2" s="303"/>
      <c r="F2" s="303"/>
      <c r="G2" s="303"/>
      <c r="H2" s="304"/>
    </row>
    <row r="3" spans="1:10" x14ac:dyDescent="0.25">
      <c r="A3" s="304" t="s">
        <v>91</v>
      </c>
      <c r="B3" s="304" t="s">
        <v>117</v>
      </c>
      <c r="C3" s="304" t="s">
        <v>112</v>
      </c>
      <c r="D3" s="305"/>
      <c r="E3" s="304" t="s">
        <v>91</v>
      </c>
      <c r="F3" s="304" t="s">
        <v>117</v>
      </c>
      <c r="G3" s="304" t="s">
        <v>112</v>
      </c>
      <c r="H3" s="305"/>
      <c r="I3" s="307" t="s">
        <v>232</v>
      </c>
    </row>
    <row r="4" spans="1:10" x14ac:dyDescent="0.25">
      <c r="A4" s="305" t="s">
        <v>137</v>
      </c>
      <c r="B4" s="305" t="s">
        <v>138</v>
      </c>
      <c r="C4" s="305">
        <v>16</v>
      </c>
      <c r="D4" s="305"/>
      <c r="E4" s="305" t="s">
        <v>137</v>
      </c>
      <c r="F4" s="305" t="s">
        <v>138</v>
      </c>
      <c r="G4" s="305">
        <v>0</v>
      </c>
      <c r="H4" s="305"/>
      <c r="I4" s="3">
        <f>C4+G4</f>
        <v>16</v>
      </c>
      <c r="J4" s="3" t="s">
        <v>158</v>
      </c>
    </row>
    <row r="5" spans="1:10" x14ac:dyDescent="0.25">
      <c r="D5" s="305"/>
      <c r="E5" s="298" t="s">
        <v>221</v>
      </c>
      <c r="F5" s="298" t="s">
        <v>221</v>
      </c>
      <c r="G5" s="298">
        <v>4</v>
      </c>
      <c r="H5" s="306"/>
      <c r="I5" s="3">
        <f>C5+G5</f>
        <v>4</v>
      </c>
    </row>
    <row r="6" spans="1:10" x14ac:dyDescent="0.25">
      <c r="A6" s="305" t="s">
        <v>151</v>
      </c>
      <c r="B6" s="305" t="s">
        <v>152</v>
      </c>
      <c r="C6" s="305">
        <v>4</v>
      </c>
      <c r="D6" s="305"/>
      <c r="E6" s="305" t="s">
        <v>151</v>
      </c>
      <c r="F6" s="305" t="s">
        <v>152</v>
      </c>
      <c r="G6" s="305">
        <v>4</v>
      </c>
      <c r="H6" s="305"/>
      <c r="I6" s="3">
        <f t="shared" ref="I6:I33" si="0">C6+G6</f>
        <v>8</v>
      </c>
      <c r="J6" s="3" t="s">
        <v>158</v>
      </c>
    </row>
    <row r="7" spans="1:10" x14ac:dyDescent="0.25">
      <c r="A7" s="305" t="s">
        <v>118</v>
      </c>
      <c r="B7" s="305" t="s">
        <v>119</v>
      </c>
      <c r="C7" s="305">
        <v>4</v>
      </c>
      <c r="D7" s="305"/>
      <c r="E7" s="305" t="s">
        <v>118</v>
      </c>
      <c r="F7" s="305" t="s">
        <v>119</v>
      </c>
      <c r="G7" s="305">
        <v>4</v>
      </c>
      <c r="H7" s="305"/>
      <c r="I7" s="3">
        <f t="shared" si="0"/>
        <v>8</v>
      </c>
      <c r="J7" s="3" t="s">
        <v>158</v>
      </c>
    </row>
    <row r="8" spans="1:10" x14ac:dyDescent="0.25">
      <c r="A8" s="305" t="s">
        <v>120</v>
      </c>
      <c r="B8" s="305" t="s">
        <v>136</v>
      </c>
      <c r="C8" s="305">
        <v>8</v>
      </c>
      <c r="D8" s="305"/>
      <c r="E8" s="305" t="s">
        <v>120</v>
      </c>
      <c r="F8" s="305" t="s">
        <v>136</v>
      </c>
      <c r="G8" s="305">
        <v>5</v>
      </c>
      <c r="H8" s="305"/>
      <c r="I8" s="3">
        <f t="shared" si="0"/>
        <v>13</v>
      </c>
      <c r="J8" s="3" t="s">
        <v>158</v>
      </c>
    </row>
    <row r="9" spans="1:10" x14ac:dyDescent="0.25">
      <c r="A9" s="305" t="s">
        <v>139</v>
      </c>
      <c r="B9" s="305" t="s">
        <v>140</v>
      </c>
      <c r="C9" s="305">
        <v>9</v>
      </c>
      <c r="D9" s="305"/>
      <c r="E9" s="305" t="s">
        <v>139</v>
      </c>
      <c r="F9" s="305" t="s">
        <v>233</v>
      </c>
      <c r="G9" s="305">
        <v>7</v>
      </c>
      <c r="H9" s="305"/>
      <c r="I9" s="3">
        <f t="shared" si="0"/>
        <v>16</v>
      </c>
      <c r="J9" s="3" t="s">
        <v>158</v>
      </c>
    </row>
    <row r="10" spans="1:10" x14ac:dyDescent="0.25">
      <c r="A10" s="305" t="s">
        <v>121</v>
      </c>
      <c r="B10" s="305" t="s">
        <v>122</v>
      </c>
      <c r="C10" s="305">
        <v>4.5</v>
      </c>
      <c r="D10" s="305"/>
      <c r="E10" s="305" t="s">
        <v>121</v>
      </c>
      <c r="F10" s="305" t="s">
        <v>122</v>
      </c>
      <c r="G10" s="305">
        <v>0</v>
      </c>
      <c r="H10" s="305"/>
      <c r="I10" s="3">
        <f t="shared" si="0"/>
        <v>4.5</v>
      </c>
    </row>
    <row r="11" spans="1:10" x14ac:dyDescent="0.25">
      <c r="D11" s="305"/>
      <c r="E11" s="305" t="s">
        <v>216</v>
      </c>
      <c r="F11" s="305" t="s">
        <v>224</v>
      </c>
      <c r="G11" s="305">
        <v>13.5</v>
      </c>
      <c r="H11" s="305"/>
      <c r="I11" s="3">
        <f t="shared" si="0"/>
        <v>13.5</v>
      </c>
      <c r="J11" s="3" t="s">
        <v>158</v>
      </c>
    </row>
    <row r="12" spans="1:10" x14ac:dyDescent="0.25">
      <c r="A12" s="305" t="s">
        <v>141</v>
      </c>
      <c r="B12" s="305" t="s">
        <v>142</v>
      </c>
      <c r="C12" s="305">
        <v>20</v>
      </c>
      <c r="D12" s="305"/>
      <c r="E12" s="305" t="s">
        <v>141</v>
      </c>
      <c r="F12" s="305" t="s">
        <v>142</v>
      </c>
      <c r="G12" s="305">
        <v>26.5</v>
      </c>
      <c r="H12" s="305"/>
      <c r="I12" s="3">
        <f t="shared" si="0"/>
        <v>46.5</v>
      </c>
      <c r="J12" s="3" t="s">
        <v>158</v>
      </c>
    </row>
    <row r="13" spans="1:10" x14ac:dyDescent="0.25">
      <c r="A13" s="305" t="s">
        <v>123</v>
      </c>
      <c r="B13" s="305" t="s">
        <v>124</v>
      </c>
      <c r="C13" s="305">
        <v>9</v>
      </c>
      <c r="D13" s="305"/>
      <c r="E13" s="305" t="s">
        <v>123</v>
      </c>
      <c r="F13" s="305" t="s">
        <v>124</v>
      </c>
      <c r="G13" s="305">
        <v>15</v>
      </c>
      <c r="H13" s="305"/>
      <c r="I13" s="3">
        <f t="shared" si="0"/>
        <v>24</v>
      </c>
      <c r="J13" s="3" t="s">
        <v>158</v>
      </c>
    </row>
    <row r="14" spans="1:10" x14ac:dyDescent="0.25">
      <c r="D14" s="305"/>
      <c r="E14" s="298" t="s">
        <v>220</v>
      </c>
      <c r="F14" s="298" t="s">
        <v>228</v>
      </c>
      <c r="G14" s="298">
        <v>5</v>
      </c>
      <c r="H14" s="306"/>
      <c r="I14" s="3">
        <f t="shared" si="0"/>
        <v>5</v>
      </c>
    </row>
    <row r="15" spans="1:10" x14ac:dyDescent="0.25">
      <c r="D15" s="305"/>
      <c r="E15" s="298" t="s">
        <v>230</v>
      </c>
      <c r="F15" s="298" t="s">
        <v>231</v>
      </c>
      <c r="G15" s="298">
        <v>4</v>
      </c>
      <c r="H15" s="306"/>
      <c r="I15" s="3">
        <f t="shared" si="0"/>
        <v>4</v>
      </c>
    </row>
    <row r="16" spans="1:10" x14ac:dyDescent="0.25">
      <c r="A16" s="305" t="s">
        <v>145</v>
      </c>
      <c r="B16" s="305" t="s">
        <v>146</v>
      </c>
      <c r="C16" s="305">
        <v>6</v>
      </c>
      <c r="D16" s="305"/>
      <c r="E16" s="305" t="s">
        <v>145</v>
      </c>
      <c r="F16" s="305" t="s">
        <v>146</v>
      </c>
      <c r="G16" s="305">
        <v>6</v>
      </c>
      <c r="H16" s="305"/>
      <c r="I16" s="3">
        <f t="shared" si="0"/>
        <v>12</v>
      </c>
      <c r="J16" s="3" t="s">
        <v>158</v>
      </c>
    </row>
    <row r="17" spans="1:11" x14ac:dyDescent="0.25">
      <c r="A17" s="305" t="s">
        <v>143</v>
      </c>
      <c r="B17" s="305" t="s">
        <v>144</v>
      </c>
      <c r="C17" s="305">
        <v>8</v>
      </c>
      <c r="D17" s="305"/>
      <c r="E17" s="305" t="s">
        <v>143</v>
      </c>
      <c r="F17" s="305" t="s">
        <v>144</v>
      </c>
      <c r="G17" s="305">
        <v>0</v>
      </c>
      <c r="H17" s="305"/>
      <c r="I17" s="3">
        <f t="shared" si="0"/>
        <v>8</v>
      </c>
      <c r="J17" s="3" t="s">
        <v>158</v>
      </c>
      <c r="K17">
        <f>SUM(I4:I18)</f>
        <v>198.5</v>
      </c>
    </row>
    <row r="18" spans="1:11" x14ac:dyDescent="0.25">
      <c r="A18" s="305" t="s">
        <v>125</v>
      </c>
      <c r="B18" s="305" t="s">
        <v>125</v>
      </c>
      <c r="C18" s="305">
        <v>12</v>
      </c>
      <c r="D18" s="305"/>
      <c r="E18" s="305" t="s">
        <v>125</v>
      </c>
      <c r="F18" s="305" t="s">
        <v>125</v>
      </c>
      <c r="G18" s="305">
        <v>4</v>
      </c>
      <c r="H18" s="305"/>
      <c r="I18" s="3">
        <f t="shared" si="0"/>
        <v>16</v>
      </c>
      <c r="J18" s="3" t="s">
        <v>158</v>
      </c>
    </row>
    <row r="19" spans="1:11" x14ac:dyDescent="0.25">
      <c r="A19" s="305" t="s">
        <v>126</v>
      </c>
      <c r="B19" s="305" t="s">
        <v>127</v>
      </c>
      <c r="C19" s="305">
        <v>2.5</v>
      </c>
      <c r="D19" s="305"/>
      <c r="E19" s="305" t="s">
        <v>126</v>
      </c>
      <c r="F19" s="305" t="s">
        <v>127</v>
      </c>
      <c r="G19" s="305">
        <v>5.5</v>
      </c>
      <c r="H19" s="305"/>
      <c r="I19" s="3">
        <f t="shared" si="0"/>
        <v>8</v>
      </c>
      <c r="J19" s="3" t="s">
        <v>158</v>
      </c>
    </row>
    <row r="20" spans="1:11" x14ac:dyDescent="0.25">
      <c r="A20" s="305" t="s">
        <v>128</v>
      </c>
      <c r="B20" s="305" t="s">
        <v>129</v>
      </c>
      <c r="C20" s="305">
        <v>15</v>
      </c>
      <c r="D20" s="305"/>
      <c r="E20" s="305" t="s">
        <v>128</v>
      </c>
      <c r="F20" s="305" t="s">
        <v>129</v>
      </c>
      <c r="G20" s="305">
        <v>11</v>
      </c>
      <c r="H20" s="305"/>
      <c r="I20" s="3">
        <f t="shared" si="0"/>
        <v>26</v>
      </c>
      <c r="J20" s="3" t="s">
        <v>158</v>
      </c>
    </row>
    <row r="21" spans="1:11" x14ac:dyDescent="0.25">
      <c r="A21" s="305" t="s">
        <v>153</v>
      </c>
      <c r="B21" s="305" t="s">
        <v>154</v>
      </c>
      <c r="C21" s="305">
        <v>4</v>
      </c>
      <c r="D21" s="305"/>
      <c r="E21" s="305" t="s">
        <v>153</v>
      </c>
      <c r="F21" s="305" t="s">
        <v>154</v>
      </c>
      <c r="G21" s="305">
        <v>0</v>
      </c>
      <c r="H21" s="305"/>
      <c r="I21" s="3">
        <f t="shared" si="0"/>
        <v>4</v>
      </c>
    </row>
    <row r="22" spans="1:11" x14ac:dyDescent="0.25">
      <c r="D22" s="305"/>
      <c r="E22" s="298" t="s">
        <v>219</v>
      </c>
      <c r="F22" s="298" t="s">
        <v>227</v>
      </c>
      <c r="G22" s="298">
        <v>8</v>
      </c>
      <c r="H22" s="306"/>
      <c r="I22" s="3">
        <f t="shared" si="0"/>
        <v>8</v>
      </c>
      <c r="J22" s="3" t="s">
        <v>158</v>
      </c>
    </row>
    <row r="23" spans="1:11" x14ac:dyDescent="0.25">
      <c r="D23" s="305"/>
      <c r="E23" s="298" t="s">
        <v>217</v>
      </c>
      <c r="F23" s="308" t="s">
        <v>225</v>
      </c>
      <c r="G23" s="308">
        <v>9</v>
      </c>
      <c r="H23" s="308"/>
      <c r="I23" s="248">
        <f t="shared" si="0"/>
        <v>9</v>
      </c>
      <c r="J23" s="248"/>
    </row>
    <row r="24" spans="1:11" x14ac:dyDescent="0.25">
      <c r="A24" s="305" t="s">
        <v>130</v>
      </c>
      <c r="B24" s="305" t="s">
        <v>131</v>
      </c>
      <c r="C24" s="305">
        <v>14</v>
      </c>
      <c r="D24" s="305"/>
      <c r="E24" s="305" t="s">
        <v>130</v>
      </c>
      <c r="F24" s="305" t="s">
        <v>131</v>
      </c>
      <c r="G24" s="305">
        <v>7.5</v>
      </c>
      <c r="H24" s="305"/>
      <c r="I24" s="3">
        <f t="shared" si="0"/>
        <v>21.5</v>
      </c>
      <c r="J24" s="3" t="s">
        <v>158</v>
      </c>
    </row>
    <row r="25" spans="1:11" x14ac:dyDescent="0.25">
      <c r="A25" s="305" t="s">
        <v>149</v>
      </c>
      <c r="B25" s="305" t="s">
        <v>150</v>
      </c>
      <c r="C25" s="305">
        <v>7.5</v>
      </c>
      <c r="D25" s="305"/>
      <c r="E25" s="305" t="s">
        <v>149</v>
      </c>
      <c r="F25" s="305" t="s">
        <v>150</v>
      </c>
      <c r="G25" s="305">
        <v>0</v>
      </c>
      <c r="H25" s="305"/>
      <c r="I25" s="3">
        <f t="shared" si="0"/>
        <v>7.5</v>
      </c>
    </row>
    <row r="26" spans="1:11" x14ac:dyDescent="0.25">
      <c r="A26" s="305" t="s">
        <v>223</v>
      </c>
      <c r="B26" s="305" t="s">
        <v>135</v>
      </c>
      <c r="C26" s="305">
        <v>8</v>
      </c>
      <c r="D26" s="305"/>
      <c r="E26" s="305" t="s">
        <v>223</v>
      </c>
      <c r="F26" s="305" t="s">
        <v>223</v>
      </c>
      <c r="G26" s="305">
        <v>4</v>
      </c>
      <c r="H26" s="305"/>
      <c r="I26" s="3">
        <f t="shared" si="0"/>
        <v>12</v>
      </c>
      <c r="J26" s="3" t="s">
        <v>158</v>
      </c>
    </row>
    <row r="27" spans="1:11" x14ac:dyDescent="0.25">
      <c r="D27" s="306"/>
      <c r="E27" s="298" t="s">
        <v>222</v>
      </c>
      <c r="F27" s="298" t="s">
        <v>229</v>
      </c>
      <c r="G27" s="298">
        <v>3.5</v>
      </c>
      <c r="H27" s="306"/>
      <c r="I27" s="3">
        <f t="shared" si="0"/>
        <v>3.5</v>
      </c>
    </row>
    <row r="28" spans="1:11" x14ac:dyDescent="0.25">
      <c r="A28" s="305" t="s">
        <v>155</v>
      </c>
      <c r="B28" s="305" t="s">
        <v>156</v>
      </c>
      <c r="C28" s="305">
        <v>6</v>
      </c>
      <c r="D28" s="306"/>
      <c r="E28" s="305" t="s">
        <v>155</v>
      </c>
      <c r="F28" s="305" t="s">
        <v>156</v>
      </c>
      <c r="G28" s="305">
        <v>5</v>
      </c>
      <c r="H28" s="305"/>
      <c r="I28" s="3">
        <f t="shared" si="0"/>
        <v>11</v>
      </c>
      <c r="J28" s="3" t="s">
        <v>158</v>
      </c>
    </row>
    <row r="29" spans="1:11" x14ac:dyDescent="0.25">
      <c r="A29" s="305" t="s">
        <v>155</v>
      </c>
      <c r="B29" s="305" t="s">
        <v>157</v>
      </c>
      <c r="C29" s="305">
        <v>6</v>
      </c>
      <c r="D29" s="306"/>
      <c r="E29" s="305" t="s">
        <v>155</v>
      </c>
      <c r="F29" s="305" t="s">
        <v>157</v>
      </c>
      <c r="G29" s="305">
        <v>0</v>
      </c>
      <c r="H29" s="305"/>
      <c r="I29" s="3">
        <f t="shared" si="0"/>
        <v>6</v>
      </c>
    </row>
    <row r="30" spans="1:11" x14ac:dyDescent="0.25">
      <c r="D30" s="306"/>
      <c r="E30" s="298" t="s">
        <v>218</v>
      </c>
      <c r="F30" s="305" t="s">
        <v>226</v>
      </c>
      <c r="G30" s="298">
        <v>3</v>
      </c>
      <c r="H30" s="305"/>
      <c r="I30" s="3">
        <f t="shared" si="0"/>
        <v>3</v>
      </c>
    </row>
    <row r="31" spans="1:11" x14ac:dyDescent="0.25">
      <c r="A31" s="305" t="s">
        <v>147</v>
      </c>
      <c r="B31" s="305" t="s">
        <v>148</v>
      </c>
      <c r="C31" s="305">
        <v>5</v>
      </c>
      <c r="D31" s="306"/>
      <c r="E31" s="305" t="s">
        <v>147</v>
      </c>
      <c r="F31" s="305" t="s">
        <v>148</v>
      </c>
      <c r="G31" s="305">
        <v>0</v>
      </c>
      <c r="H31" s="305"/>
      <c r="I31" s="3">
        <f t="shared" si="0"/>
        <v>5</v>
      </c>
    </row>
    <row r="32" spans="1:11" x14ac:dyDescent="0.25">
      <c r="A32" s="304" t="s">
        <v>132</v>
      </c>
      <c r="B32" s="305"/>
      <c r="C32" s="305"/>
      <c r="D32" s="306"/>
      <c r="E32" s="304" t="s">
        <v>132</v>
      </c>
      <c r="F32" s="305"/>
      <c r="G32" s="305"/>
      <c r="H32" s="306"/>
      <c r="I32" s="3">
        <f t="shared" si="0"/>
        <v>0</v>
      </c>
    </row>
    <row r="33" spans="1:9" x14ac:dyDescent="0.25">
      <c r="A33" s="304" t="s">
        <v>133</v>
      </c>
      <c r="B33" s="305"/>
      <c r="C33" s="305">
        <f>SUM(C4:C31)</f>
        <v>168.5</v>
      </c>
      <c r="D33" s="306"/>
      <c r="E33" s="304" t="s">
        <v>133</v>
      </c>
      <c r="F33" s="305"/>
      <c r="G33" s="305">
        <f>SUM(G4:G31)</f>
        <v>154.5</v>
      </c>
      <c r="H33" s="306"/>
      <c r="I33" s="3">
        <f t="shared" si="0"/>
        <v>323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443C8-7419-428C-AFEE-FD7AF621B2C2}">
  <dimension ref="A1:E34"/>
  <sheetViews>
    <sheetView tabSelected="1" workbookViewId="0">
      <selection activeCell="E7" sqref="E7"/>
    </sheetView>
  </sheetViews>
  <sheetFormatPr baseColWidth="10" defaultRowHeight="15" x14ac:dyDescent="0.25"/>
  <cols>
    <col min="1" max="1" width="23" style="3" customWidth="1"/>
    <col min="2" max="2" width="21.85546875" customWidth="1"/>
    <col min="3" max="3" width="10.7109375" customWidth="1"/>
  </cols>
  <sheetData>
    <row r="1" spans="1:4" ht="15.75" x14ac:dyDescent="0.25">
      <c r="A1" s="181" t="s">
        <v>235</v>
      </c>
    </row>
    <row r="2" spans="1:4" ht="15.75" thickBot="1" x14ac:dyDescent="0.3"/>
    <row r="3" spans="1:4" x14ac:dyDescent="0.25">
      <c r="A3" s="309" t="s">
        <v>91</v>
      </c>
      <c r="B3" s="311" t="s">
        <v>234</v>
      </c>
      <c r="C3" s="310" t="s">
        <v>112</v>
      </c>
      <c r="D3" s="3"/>
    </row>
    <row r="4" spans="1:4" x14ac:dyDescent="0.25">
      <c r="A4" s="114" t="s">
        <v>236</v>
      </c>
      <c r="B4" s="305" t="s">
        <v>138</v>
      </c>
      <c r="C4" s="115">
        <v>16</v>
      </c>
      <c r="D4" s="3" t="s">
        <v>158</v>
      </c>
    </row>
    <row r="5" spans="1:4" x14ac:dyDescent="0.25">
      <c r="A5" s="114" t="s">
        <v>221</v>
      </c>
      <c r="B5" s="298" t="s">
        <v>221</v>
      </c>
      <c r="C5" s="301">
        <v>4</v>
      </c>
      <c r="D5" s="3"/>
    </row>
    <row r="6" spans="1:4" x14ac:dyDescent="0.25">
      <c r="A6" s="114" t="s">
        <v>151</v>
      </c>
      <c r="B6" s="305" t="s">
        <v>152</v>
      </c>
      <c r="C6" s="115">
        <v>8</v>
      </c>
      <c r="D6" s="3" t="s">
        <v>158</v>
      </c>
    </row>
    <row r="7" spans="1:4" x14ac:dyDescent="0.25">
      <c r="A7" s="114" t="s">
        <v>118</v>
      </c>
      <c r="B7" s="305" t="s">
        <v>119</v>
      </c>
      <c r="C7" s="115">
        <v>8</v>
      </c>
      <c r="D7" s="3" t="s">
        <v>158</v>
      </c>
    </row>
    <row r="8" spans="1:4" x14ac:dyDescent="0.25">
      <c r="A8" s="114" t="s">
        <v>120</v>
      </c>
      <c r="B8" s="305" t="s">
        <v>136</v>
      </c>
      <c r="C8" s="115">
        <v>13</v>
      </c>
      <c r="D8" s="3" t="s">
        <v>158</v>
      </c>
    </row>
    <row r="9" spans="1:4" x14ac:dyDescent="0.25">
      <c r="A9" s="114" t="s">
        <v>139</v>
      </c>
      <c r="B9" s="305" t="s">
        <v>233</v>
      </c>
      <c r="C9" s="115">
        <v>16</v>
      </c>
      <c r="D9" s="3" t="s">
        <v>158</v>
      </c>
    </row>
    <row r="10" spans="1:4" x14ac:dyDescent="0.25">
      <c r="A10" s="114" t="s">
        <v>121</v>
      </c>
      <c r="B10" s="305" t="s">
        <v>122</v>
      </c>
      <c r="C10" s="115">
        <v>4.5</v>
      </c>
      <c r="D10" s="3"/>
    </row>
    <row r="11" spans="1:4" x14ac:dyDescent="0.25">
      <c r="A11" s="114" t="s">
        <v>216</v>
      </c>
      <c r="B11" s="305" t="s">
        <v>224</v>
      </c>
      <c r="C11" s="115">
        <v>13.5</v>
      </c>
      <c r="D11" s="3" t="s">
        <v>158</v>
      </c>
    </row>
    <row r="12" spans="1:4" x14ac:dyDescent="0.25">
      <c r="A12" s="114" t="s">
        <v>141</v>
      </c>
      <c r="B12" s="305" t="s">
        <v>142</v>
      </c>
      <c r="C12" s="115">
        <v>46.5</v>
      </c>
      <c r="D12" s="3" t="s">
        <v>158</v>
      </c>
    </row>
    <row r="13" spans="1:4" x14ac:dyDescent="0.25">
      <c r="A13" s="114" t="s">
        <v>237</v>
      </c>
      <c r="B13" s="305" t="s">
        <v>124</v>
      </c>
      <c r="C13" s="115">
        <v>24</v>
      </c>
      <c r="D13" s="3" t="s">
        <v>158</v>
      </c>
    </row>
    <row r="14" spans="1:4" x14ac:dyDescent="0.25">
      <c r="A14" s="114" t="s">
        <v>220</v>
      </c>
      <c r="B14" s="298" t="s">
        <v>228</v>
      </c>
      <c r="C14" s="301">
        <v>5</v>
      </c>
      <c r="D14" s="3"/>
    </row>
    <row r="15" spans="1:4" x14ac:dyDescent="0.25">
      <c r="A15" s="114" t="s">
        <v>230</v>
      </c>
      <c r="B15" s="298" t="s">
        <v>231</v>
      </c>
      <c r="C15" s="301">
        <v>4</v>
      </c>
      <c r="D15" s="3"/>
    </row>
    <row r="16" spans="1:4" x14ac:dyDescent="0.25">
      <c r="A16" s="114" t="s">
        <v>238</v>
      </c>
      <c r="B16" s="305" t="s">
        <v>146</v>
      </c>
      <c r="C16" s="115">
        <v>12</v>
      </c>
      <c r="D16" s="3" t="s">
        <v>158</v>
      </c>
    </row>
    <row r="17" spans="1:5" x14ac:dyDescent="0.25">
      <c r="A17" s="114" t="s">
        <v>143</v>
      </c>
      <c r="B17" s="305" t="s">
        <v>144</v>
      </c>
      <c r="C17" s="115">
        <v>8</v>
      </c>
      <c r="D17" s="3" t="s">
        <v>158</v>
      </c>
    </row>
    <row r="18" spans="1:5" x14ac:dyDescent="0.25">
      <c r="A18" s="114" t="s">
        <v>125</v>
      </c>
      <c r="B18" s="305" t="s">
        <v>125</v>
      </c>
      <c r="C18" s="115">
        <v>16</v>
      </c>
      <c r="D18" s="3" t="s">
        <v>158</v>
      </c>
    </row>
    <row r="19" spans="1:5" x14ac:dyDescent="0.25">
      <c r="A19" s="114" t="s">
        <v>126</v>
      </c>
      <c r="B19" s="305" t="s">
        <v>127</v>
      </c>
      <c r="C19" s="115">
        <v>8</v>
      </c>
      <c r="D19" s="3" t="s">
        <v>158</v>
      </c>
    </row>
    <row r="20" spans="1:5" x14ac:dyDescent="0.25">
      <c r="A20" s="114" t="s">
        <v>128</v>
      </c>
      <c r="B20" s="305" t="s">
        <v>129</v>
      </c>
      <c r="C20" s="115">
        <v>26</v>
      </c>
      <c r="D20" s="3" t="s">
        <v>158</v>
      </c>
    </row>
    <row r="21" spans="1:5" x14ac:dyDescent="0.25">
      <c r="A21" s="114" t="s">
        <v>153</v>
      </c>
      <c r="B21" s="305" t="s">
        <v>154</v>
      </c>
      <c r="C21" s="115">
        <v>4</v>
      </c>
      <c r="D21" s="3"/>
    </row>
    <row r="22" spans="1:5" x14ac:dyDescent="0.25">
      <c r="A22" s="114" t="s">
        <v>239</v>
      </c>
      <c r="B22" s="298" t="s">
        <v>227</v>
      </c>
      <c r="C22" s="301">
        <v>8</v>
      </c>
      <c r="D22" s="3" t="s">
        <v>158</v>
      </c>
    </row>
    <row r="23" spans="1:5" x14ac:dyDescent="0.25">
      <c r="A23" s="114" t="s">
        <v>217</v>
      </c>
      <c r="B23" s="298" t="s">
        <v>225</v>
      </c>
      <c r="C23" s="301">
        <v>9</v>
      </c>
      <c r="D23" s="315"/>
    </row>
    <row r="24" spans="1:5" x14ac:dyDescent="0.25">
      <c r="A24" s="114" t="s">
        <v>130</v>
      </c>
      <c r="B24" s="305" t="s">
        <v>131</v>
      </c>
      <c r="C24" s="115">
        <v>21.5</v>
      </c>
      <c r="D24" s="3" t="s">
        <v>158</v>
      </c>
    </row>
    <row r="25" spans="1:5" x14ac:dyDescent="0.25">
      <c r="A25" s="114" t="s">
        <v>149</v>
      </c>
      <c r="B25" s="305" t="s">
        <v>150</v>
      </c>
      <c r="C25" s="115">
        <v>7.5</v>
      </c>
      <c r="D25" s="3"/>
    </row>
    <row r="26" spans="1:5" x14ac:dyDescent="0.25">
      <c r="A26" s="114" t="s">
        <v>223</v>
      </c>
      <c r="B26" s="305" t="s">
        <v>223</v>
      </c>
      <c r="C26" s="115">
        <v>12</v>
      </c>
      <c r="D26" s="3" t="s">
        <v>158</v>
      </c>
    </row>
    <row r="27" spans="1:5" x14ac:dyDescent="0.25">
      <c r="A27" s="114" t="s">
        <v>222</v>
      </c>
      <c r="B27" s="298" t="s">
        <v>229</v>
      </c>
      <c r="C27" s="301">
        <v>3.5</v>
      </c>
      <c r="D27" s="3"/>
    </row>
    <row r="28" spans="1:5" x14ac:dyDescent="0.25">
      <c r="A28" s="114" t="s">
        <v>155</v>
      </c>
      <c r="B28" s="305" t="s">
        <v>156</v>
      </c>
      <c r="C28" s="115">
        <v>11</v>
      </c>
      <c r="D28" s="3" t="s">
        <v>158</v>
      </c>
    </row>
    <row r="29" spans="1:5" x14ac:dyDescent="0.25">
      <c r="A29" s="114" t="s">
        <v>155</v>
      </c>
      <c r="B29" s="305" t="s">
        <v>157</v>
      </c>
      <c r="C29" s="115">
        <v>6</v>
      </c>
      <c r="D29" s="3"/>
    </row>
    <row r="30" spans="1:5" x14ac:dyDescent="0.25">
      <c r="A30" s="114" t="s">
        <v>218</v>
      </c>
      <c r="B30" s="305" t="s">
        <v>226</v>
      </c>
      <c r="C30" s="301">
        <v>3</v>
      </c>
      <c r="D30" s="3"/>
      <c r="E30" s="3"/>
    </row>
    <row r="31" spans="1:5" x14ac:dyDescent="0.25">
      <c r="A31" s="114" t="s">
        <v>147</v>
      </c>
      <c r="B31" s="305" t="s">
        <v>148</v>
      </c>
      <c r="C31" s="115">
        <v>5</v>
      </c>
      <c r="D31" s="3"/>
      <c r="E31" s="3"/>
    </row>
    <row r="32" spans="1:5" x14ac:dyDescent="0.25">
      <c r="A32" s="114"/>
      <c r="B32" s="306"/>
      <c r="C32" s="312"/>
      <c r="D32" s="3"/>
    </row>
    <row r="33" spans="1:4" x14ac:dyDescent="0.25">
      <c r="A33" s="112" t="s">
        <v>132</v>
      </c>
      <c r="B33" s="306"/>
      <c r="C33" s="115">
        <f>SUM(C4:C31)</f>
        <v>323</v>
      </c>
      <c r="D33" s="3"/>
    </row>
    <row r="34" spans="1:4" ht="15.75" thickBot="1" x14ac:dyDescent="0.3">
      <c r="A34" s="116" t="s">
        <v>133</v>
      </c>
      <c r="B34" s="313"/>
      <c r="C34" s="31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Herbst 2025</vt:lpstr>
      <vt:lpstr>Frühling 2026</vt:lpstr>
      <vt:lpstr>Total</vt:lpstr>
      <vt:lpstr>für Leandro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Bettina Hefti-Neuhaus</dc:creator>
  <cp:lastModifiedBy>Bettina Hefti-Neuhaus</cp:lastModifiedBy>
  <dcterms:created xsi:type="dcterms:W3CDTF">2025-11-07T07:23:44Z</dcterms:created>
  <dcterms:modified xsi:type="dcterms:W3CDTF">2026-06-15T15:21:35Z</dcterms:modified>
</cp:coreProperties>
</file>